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realvalpvtltd-my.sharepoint.com/personal/mgupta_therealval_com/Documents/Office docs/AI Training/Rent Rolls/"/>
    </mc:Choice>
  </mc:AlternateContent>
  <xr:revisionPtr revIDLastSave="3" documentId="8_{2D34112A-E7FE-4AAC-ACDA-26BF25EDFD81}" xr6:coauthVersionLast="47" xr6:coauthVersionMax="47" xr10:uidLastSave="{F43178B7-2CCC-4B9B-8DE7-3FD36822E79A}"/>
  <bookViews>
    <workbookView xWindow="-110" yWindow="-110" windowWidth="19420" windowHeight="11500" xr2:uid="{5496F17F-2CF4-481F-A6A1-F60123B8AFBA}"/>
  </bookViews>
  <sheets>
    <sheet name="Rent Roll" sheetId="2" r:id="rId1"/>
  </sheets>
  <definedNames>
    <definedName name="___wrn2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___wrn3" hidden="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__123Graph_A" hidden="1">#REF!</definedName>
    <definedName name="__123Graph_ACOLLECTIONS" hidden="1">#REF!</definedName>
    <definedName name="__123Graph_B" hidden="1">#REF!</definedName>
    <definedName name="__123Graph_BCOLLECTIONS" hidden="1">#REF!</definedName>
    <definedName name="__123Graph_C" hidden="1">#REF!</definedName>
    <definedName name="__123Graph_D" hidden="1">#REF!</definedName>
    <definedName name="__123Graph_E" hidden="1">#REF!</definedName>
    <definedName name="__123Graph_X" hidden="1">#REF!</definedName>
    <definedName name="__123Graph_XCOLLECTIONS" hidden="1">#REF!</definedName>
    <definedName name="__FDS_HYPERLINK_TOGGLE_STATE__" hidden="1">"ON"</definedName>
    <definedName name="__IntlFixup" hidden="1">TRUE</definedName>
    <definedName name="__wrn2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__wrn3" hidden="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_1__123Graph_ACHART_1" hidden="1">#REF!</definedName>
    <definedName name="_10__123Graph_XCHART_2" hidden="1">#REF!</definedName>
    <definedName name="_100__123Graph_XChart_5" hidden="1">#REF!</definedName>
    <definedName name="_101__123Graph_XChart_6" hidden="1">#REF!</definedName>
    <definedName name="_11__123Graph_XCHART_3" hidden="1">#REF!</definedName>
    <definedName name="_2__123Graph_ACHART_2" hidden="1">#REF!</definedName>
    <definedName name="_22__123Graph_A_Chart_1A" hidden="1">#REF!</definedName>
    <definedName name="_23__123Graph_AChart_1" hidden="1">#REF!</definedName>
    <definedName name="_24__123Graph_ACHART_19" hidden="1">#REF!</definedName>
    <definedName name="_25__123Graph_AChart_2" hidden="1">#REF!</definedName>
    <definedName name="_26__123Graph_ACHART_20" hidden="1">#REF!</definedName>
    <definedName name="_27__123Graph_ACHART_22" hidden="1">#REF!</definedName>
    <definedName name="_28__123Graph_ACHART_23" hidden="1">#REF!</definedName>
    <definedName name="_29__123Graph_AChart_3" hidden="1">#REF!</definedName>
    <definedName name="_3__123Graph_ACHART_3" hidden="1">#REF!</definedName>
    <definedName name="_3__123Graph_BCHART_1" hidden="1">#REF!</definedName>
    <definedName name="_30__123Graph_AChart_4" hidden="1">#REF!</definedName>
    <definedName name="_31__123Graph_AChart_5" hidden="1">#REF!</definedName>
    <definedName name="_32__123Graph_AChart_6" hidden="1">#REF!</definedName>
    <definedName name="_33__123Graph_B_Chart_1A" hidden="1">#REF!</definedName>
    <definedName name="_34__123Graph_BCHART_12" hidden="1">#REF!</definedName>
    <definedName name="_35__123Graph_C_Chart_1A" hidden="1">#REF!</definedName>
    <definedName name="_36__123Graph_CCHART_10" hidden="1">#REF!</definedName>
    <definedName name="_37__123Graph_CCHART_11" hidden="1">#REF!</definedName>
    <definedName name="_38__123Graph_CCHART_12" hidden="1">#REF!</definedName>
    <definedName name="_39__123Graph_CCHART_13" hidden="1">#REF!</definedName>
    <definedName name="_4__123Graph_BCHART_1" hidden="1">#REF!</definedName>
    <definedName name="_4__123Graph_XCHART_1" hidden="1">#REF!</definedName>
    <definedName name="_40__123Graph_CCHART_14" hidden="1">#REF!</definedName>
    <definedName name="_41__123Graph_CCHART_15" hidden="1">#REF!</definedName>
    <definedName name="_42__123Graph_CCHART_16" hidden="1">#REF!</definedName>
    <definedName name="_43__123Graph_CCHART_17" hidden="1">#REF!</definedName>
    <definedName name="_44__123Graph_CCHART_18" hidden="1">#REF!</definedName>
    <definedName name="_45__123Graph_CCHART_4" hidden="1">#REF!</definedName>
    <definedName name="_46__123Graph_CCHART_6" hidden="1">#REF!</definedName>
    <definedName name="_47__123Graph_CCHART_7" hidden="1">#REF!</definedName>
    <definedName name="_48__123Graph_CCHART_8" hidden="1">#REF!</definedName>
    <definedName name="_49__123Graph_CCHART_9" hidden="1">#REF!</definedName>
    <definedName name="_5__123Graph_CCHART_1" hidden="1">#REF!</definedName>
    <definedName name="_5__123Graph_XCHART_2" hidden="1">#REF!</definedName>
    <definedName name="_50__123Graph_D_Chart_1A" hidden="1">#REF!</definedName>
    <definedName name="_51__123Graph_DCHART_10" hidden="1">#REF!</definedName>
    <definedName name="_52__123Graph_DCHART_11" hidden="1">#REF!</definedName>
    <definedName name="_53__123Graph_DCHART_12" hidden="1">#REF!</definedName>
    <definedName name="_54__123Graph_DCHART_13" hidden="1">#REF!</definedName>
    <definedName name="_55__123Graph_DCHART_14" hidden="1">#REF!</definedName>
    <definedName name="_56__123Graph_DCHART_15" hidden="1">#REF!</definedName>
    <definedName name="_57__123Graph_DCHART_16" hidden="1">#REF!</definedName>
    <definedName name="_58__123Graph_DCHART_17" hidden="1">#REF!</definedName>
    <definedName name="_59__123Graph_DCHART_18" hidden="1">#REF!</definedName>
    <definedName name="_6__123Graph_DCHART_1" hidden="1">#REF!</definedName>
    <definedName name="_60__123Graph_DCHART_4" hidden="1">#REF!</definedName>
    <definedName name="_61__123Graph_DCHART_6" hidden="1">#REF!</definedName>
    <definedName name="_62__123Graph_DCHART_7" hidden="1">#REF!</definedName>
    <definedName name="_63__123Graph_DCHART_8" hidden="1">#REF!</definedName>
    <definedName name="_64__123Graph_DCHART_9" hidden="1">#REF!</definedName>
    <definedName name="_65__123Graph_E_Chart_1A" hidden="1">#REF!</definedName>
    <definedName name="_66__123Graph_ECHART_10" hidden="1">#REF!</definedName>
    <definedName name="_67__123Graph_ECHART_11" hidden="1">#REF!</definedName>
    <definedName name="_68__123Graph_ECHART_12" hidden="1">#REF!</definedName>
    <definedName name="_69__123Graph_ECHART_13" hidden="1">#REF!</definedName>
    <definedName name="_7__123Graph_ECHART_1" hidden="1">#REF!</definedName>
    <definedName name="_70__123Graph_ECHART_14" hidden="1">#REF!</definedName>
    <definedName name="_71__123Graph_ECHART_15" hidden="1">#REF!</definedName>
    <definedName name="_72__123Graph_ECHART_16" hidden="1">#REF!</definedName>
    <definedName name="_73__123Graph_ECHART_17" hidden="1">#REF!</definedName>
    <definedName name="_74__123Graph_ECHART_18" hidden="1">#REF!</definedName>
    <definedName name="_75__123Graph_ECHART_4" hidden="1">#REF!</definedName>
    <definedName name="_76__123Graph_ECHART_6" hidden="1">#REF!</definedName>
    <definedName name="_77__123Graph_ECHART_7" hidden="1">#REF!</definedName>
    <definedName name="_78__123Graph_ECHART_8" hidden="1">#REF!</definedName>
    <definedName name="_79__123Graph_ECHART_9" hidden="1">#REF!</definedName>
    <definedName name="_8__123Graph_FCHART_1" hidden="1">#REF!</definedName>
    <definedName name="_80__123Graph_F_Chart_1A" hidden="1">#REF!</definedName>
    <definedName name="_81__123Graph_FCHART_10" hidden="1">#REF!</definedName>
    <definedName name="_82__123Graph_FCHART_11" hidden="1">#REF!</definedName>
    <definedName name="_83__123Graph_FCHART_12" hidden="1">#REF!</definedName>
    <definedName name="_84__123Graph_FCHART_13" hidden="1">#REF!</definedName>
    <definedName name="_85__123Graph_FCHART_14" hidden="1">#REF!</definedName>
    <definedName name="_86__123Graph_FCHART_15" hidden="1">#REF!</definedName>
    <definedName name="_87__123Graph_FCHART_16" hidden="1">#REF!</definedName>
    <definedName name="_88__123Graph_FCHART_4" hidden="1">#REF!</definedName>
    <definedName name="_89__123Graph_FCHART_6" hidden="1">#REF!</definedName>
    <definedName name="_9__123Graph_XCHART_1" hidden="1">#REF!</definedName>
    <definedName name="_90__123Graph_FCHART_7" hidden="1">#REF!</definedName>
    <definedName name="_91__123Graph_FCHART_8" hidden="1">#REF!</definedName>
    <definedName name="_92__123Graph_FCHART_9" hidden="1">#REF!</definedName>
    <definedName name="_93__123Graph_X_Chart_1A" hidden="1">#REF!</definedName>
    <definedName name="_94__123Graph_XChart_1" hidden="1">#REF!</definedName>
    <definedName name="_95__123Graph_XChart_2" hidden="1">#REF!</definedName>
    <definedName name="_96__123Graph_XCHART_20" hidden="1">#REF!</definedName>
    <definedName name="_97__123Graph_XCHART_23" hidden="1">#REF!</definedName>
    <definedName name="_98__123Graph_XChart_3" hidden="1">#REF!</definedName>
    <definedName name="_99__123Graph_XChart_4" hidden="1">#REF!</definedName>
    <definedName name="_b2" hidden="1">{"PVGraph2",#N/A,FALSE,"PV Data"}</definedName>
    <definedName name="_bdm.CAAD75B892744DA7A396804116BF19C2.edm" hidden="1">#REF!</definedName>
    <definedName name="_bdm.FB8D8AB244B64BB9B4F5F5A4C5205085.edm" hidden="1">#REF!</definedName>
    <definedName name="_Example" hidden="1">#REF!</definedName>
    <definedName name="_Fill" hidden="1">#REF!</definedName>
    <definedName name="_xlnm._FilterDatabase" localSheetId="0" hidden="1">'Rent Roll'!$C$8:$AO$870</definedName>
    <definedName name="_I2" hidden="1">{"PVGraph2",#N/A,FALSE,"PV Data"}</definedName>
    <definedName name="_I22" hidden="1">{"PVGraph2",#N/A,FALSE,"PV Data"}</definedName>
    <definedName name="_I3" hidden="1">{"PVGraph2",#N/A,FALSE,"PV Data"}</definedName>
    <definedName name="_II2" hidden="1">{"PVGraph2",#N/A,FALSE,"PV Data"}</definedName>
    <definedName name="_Key1" hidden="1">#REF!</definedName>
    <definedName name="_Key2" hidden="1">#REF!</definedName>
    <definedName name="_Look" hidden="1">#REF!</definedName>
    <definedName name="_Order1" hidden="1">0</definedName>
    <definedName name="_Order2" hidden="1">255</definedName>
    <definedName name="_q234" hidden="1">#REF!</definedName>
    <definedName name="_Regression_Int" hidden="1">1</definedName>
    <definedName name="_s1" hidden="1">#REF!</definedName>
    <definedName name="_s2" hidden="1">#REF!</definedName>
    <definedName name="_s3" hidden="1">#REF!</definedName>
    <definedName name="_s4" hidden="1">#REF!</definedName>
    <definedName name="_s5" hidden="1">#REF!</definedName>
    <definedName name="_s6" hidden="1">#REF!</definedName>
    <definedName name="_Series" hidden="1">#REF!</definedName>
    <definedName name="_Shading" hidden="1">#REF!</definedName>
    <definedName name="_Sort" hidden="1">#REF!</definedName>
    <definedName name="_Table1_In1" hidden="1">#REF!</definedName>
    <definedName name="_Table1_In2" hidden="1">#REF!</definedName>
    <definedName name="_Table1_Out" hidden="1">#REF!</definedName>
    <definedName name="_Table2_In1" hidden="1">#REF!</definedName>
    <definedName name="_Table2_In2" hidden="1">#REF!</definedName>
    <definedName name="_Table2_Out" hidden="1">#REF!</definedName>
    <definedName name="_w1" hidden="1">{"PVGraph2",#N/A,FALSE,"PV Data"}</definedName>
    <definedName name="_w2" hidden="1">{"PVGraph2",#N/A,FALSE,"PV Data"}</definedName>
    <definedName name="_w3" hidden="1">{"PVGraph2",#N/A,FALSE,"PV Data"}</definedName>
    <definedName name="_w9" hidden="1">{"PVGraph2",#N/A,FALSE,"PV Data"}</definedName>
    <definedName name="_wer33" hidden="1">{"cover",#N/A,TRUE,"Cover";"toc5",#N/A,TRUE,"TOC";"over",#N/A,TRUE,"Overview";"ts2",#N/A,TRUE,"Det_Trans_Sum";"ei1",#N/A,TRUE,"Earnings Impact";"ad1",#N/A,TRUE,"accretion dilution";"pfis1",#N/A,TRUE,"Pro Forma Income Statement";"ca1",#N/A,TRUE,"Contribution_Analysis";"acq1",#N/A,TRUE,"Acquirer";"tar1",#N/A,TRUE,"Target"}</definedName>
    <definedName name="_wrn2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_wrn3" hidden="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_x1" hidden="1">{#N/A,#N/A,FALSE,"WATCHDSC";#N/A,#N/A,FALSE,"2LOSSMOD";#N/A,#N/A,FALSE,"2LOSS";#N/A,#N/A,FALSE,"DSC";#N/A,#N/A,FALSE,"OPERAT";#N/A,#N/A,FALSE,"ADJUST";#N/A,#N/A,FALSE,"LEASE EXPIRE"}</definedName>
    <definedName name="_x2" hidden="1">{#N/A,#N/A,FALSE,"WATCHDSC";#N/A,#N/A,FALSE,"2LOSSMOD";#N/A,#N/A,FALSE,"2LOSS";#N/A,#N/A,FALSE,"DSC";#N/A,#N/A,FALSE,"OPERAT";#N/A,#N/A,FALSE,"ADJUST";#N/A,#N/A,FALSE,"LEASE EXPIRE"}</definedName>
    <definedName name="_x3" hidden="1">{#N/A,#N/A,FALSE,"WATCHDSC";#N/A,#N/A,FALSE,"2LOSSMOD";#N/A,#N/A,FALSE,"2LOSS";#N/A,#N/A,FALSE,"DSC";#N/A,#N/A,FALSE,"OPERAT";#N/A,#N/A,FALSE,"ADJUST";#N/A,#N/A,FALSE,"LEASE EXPIRE"}</definedName>
    <definedName name="_y2" hidden="1">{"PVGraph2",#N/A,FALSE,"PV Data"}</definedName>
    <definedName name="a" hidden="1">#REF!</definedName>
    <definedName name="aa" hidden="1">{"toc1",#N/A,FALSE,"TOC";"cover",#N/A,FALSE,"Cover";"ts1",#N/A,FALSE,"Transaction Summary";"ei3",#N/A,FALSE,"Earnings Impact";"ad3",#N/A,FALSE,"accretion dilution"}</definedName>
    <definedName name="aa.2" hidden="1">{#N/A,#N/A,FALSE,"Cashflow Analysis";#N/A,#N/A,FALSE,"Sensitivity Analysis";#N/A,#N/A,FALSE,"PV";#N/A,#N/A,FALSE,"Pro Forma"}</definedName>
    <definedName name="aaa" hidden="1">{"AnnualRentRoll",#N/A,FALSE,"RentRoll"}</definedName>
    <definedName name="AAA_DOCTOPS" hidden="1">"AAA_SET"</definedName>
    <definedName name="AAA_duser" hidden="1">"OFF"</definedName>
    <definedName name="aaaaaaa" hidden="1">{"Outflow 1",#N/A,FALSE,"Outflows-Inflows";"Outflow 2",#N/A,FALSE,"Outflows-Inflows";"Inflow 1",#N/A,FALSE,"Outflows-Inflows";"Inflow 2",#N/A,FALSE,"Outflows-Inflows"}</definedName>
    <definedName name="AAB_Addin5" hidden="1">"AAB_Description for addin 5,Description for addin 5,Description for addin 5,Description for addin 5,Description for addin 5,Description for addin 5"</definedName>
    <definedName name="aasdfa" hidden="1">{"rtn",#N/A,FALSE,"RTN";"tables",#N/A,FALSE,"RTN";"cf",#N/A,FALSE,"CF";"stats",#N/A,FALSE,"Stats";"prop",#N/A,FALSE,"Prop"}</definedName>
    <definedName name="anscount" hidden="1">1</definedName>
    <definedName name="as" hidden="1">{"Outflow 1",#N/A,FALSE,"Outflows-Inflows";"Outflow 2",#N/A,FALSE,"Outflows-Inflows";"Inflow 1",#N/A,FALSE,"Outflows-Inflows";"Inflow 2",#N/A,FALSE,"Outflows-Inflows"}</definedName>
    <definedName name="asdasd" hidden="1">{"toc1",#N/A,FALSE,"TOC";"cover",#N/A,FALSE,"Cover";"ts1",#N/A,FALSE,"Transaction Summary";"ei3",#N/A,FALSE,"Earnings Impact";"ad3",#N/A,FALSE,"accretion dilution"}</definedName>
    <definedName name="asdf2" hidden="1">{#N/A,#N/A,FALSE,"OperatingAssumptions"}</definedName>
    <definedName name="asdf3" hidden="1">{#N/A,#N/A,FALSE,"LoanAssumptions"}</definedName>
    <definedName name="asdf5" hidden="1">{"MonthlyRentRoll",#N/A,FALSE,"RentRoll"}</definedName>
    <definedName name="asdf7" hidden="1">{#N/A,#N/A,TRUE,"Summary";"AnnualRentRoll",#N/A,TRUE,"RentRoll";#N/A,#N/A,TRUE,"ExitStratigy";#N/A,#N/A,TRUE,"OperatingAssumptions"}</definedName>
    <definedName name="asdfas" hidden="1">{"print 1.6",#N/A,FALSE,"Sheet1";"print 2.6",#N/A,FALSE,"Sheet1";"print 3.6",#N/A,FALSE,"Sheet1";"print 4.6",#N/A,FALSE,"Sheet1";"print 5.6",#N/A,FALSE,"Sheet1";"print 6.6",#N/A,FALSE,"Sheet1"}</definedName>
    <definedName name="asdfasaa" hidden="1">{"print 1.6",#N/A,FALSE,"Sheet1";"print 2.6",#N/A,FALSE,"Sheet1";"print 3.6",#N/A,FALSE,"Sheet1";"print 4.6",#N/A,FALSE,"Sheet1";"print 5.6",#N/A,FALSE,"Sheet1";"print 6.6",#N/A,FALSE,"Sheet1"}</definedName>
    <definedName name="asdfasdf" hidden="1">{"rtn",#N/A,FALSE,"RTN";"tables",#N/A,FALSE,"RTN";"cf",#N/A,FALSE,"CF";"stats",#N/A,FALSE,"Stats";"prop",#N/A,FALSE,"Prop"}</definedName>
    <definedName name="asdfg" hidden="1">{"rtn",#N/A,FALSE,"RTN";"tables",#N/A,FALSE,"RTN";"cf",#N/A,FALSE,"CF";"stats",#N/A,FALSE,"Stats";"prop",#N/A,FALSE,"Prop"}</definedName>
    <definedName name="ass" hidden="1">{"print 1.6",#N/A,FALSE,"Sheet1";"print 2.6",#N/A,FALSE,"Sheet1";"print 3.6",#N/A,FALSE,"Sheet1";"print 4.6",#N/A,FALSE,"Sheet1";"print 5.6",#N/A,FALSE,"Sheet1";"print 6.6",#N/A,FALSE,"Sheet1"}</definedName>
    <definedName name="asss" hidden="1">{"rtn",#N/A,FALSE,"RTN";"tables",#N/A,FALSE,"RTN";"cf",#N/A,FALSE,"CF";"stats",#N/A,FALSE,"Stats";"prop",#N/A,FALSE,"Prop"}</definedName>
    <definedName name="b" hidden="1">{#N/A,#N/A,FALSE,"ExitStratigy"}</definedName>
    <definedName name="BadLink" hidden="1">#REF!</definedName>
    <definedName name="bb" hidden="1">{#N/A,#N/A,FALSE,"ExitStratigy"}</definedName>
    <definedName name="bbb" hidden="1">{#N/A,#N/A,FALSE,"ExitStratigy"}</definedName>
    <definedName name="BLPH1" hidden="1">#REF!</definedName>
    <definedName name="BLPH10" hidden="1">#REF!</definedName>
    <definedName name="BLPH11" hidden="1">#REF!</definedName>
    <definedName name="BLPH12" hidden="1">#REF!</definedName>
    <definedName name="BLPH2" hidden="1">#REF!</definedName>
    <definedName name="BLPH3" hidden="1">#REF!</definedName>
    <definedName name="BLPH4" hidden="1">#REF!</definedName>
    <definedName name="BLPH5" hidden="1">#REF!</definedName>
    <definedName name="BLPH6" hidden="1">#REF!</definedName>
    <definedName name="BLPH7" hidden="1">#REF!</definedName>
    <definedName name="BLPH8" hidden="1">#REF!</definedName>
    <definedName name="BLPH9" hidden="1">#REF!</definedName>
    <definedName name="BudgetSumm" hidden="1">{#N/A,#N/A,FALSE,"Cashflow Analysis";#N/A,#N/A,FALSE,"Sensitivity Analysis";#N/A,#N/A,FALSE,"PV";#N/A,#N/A,FALSE,"Pro Forma"}</definedName>
    <definedName name="BudgetSumm.2" hidden="1">{#N/A,#N/A,FALSE,"Cashflow Analysis";#N/A,#N/A,FALSE,"Sensitivity Analysis";#N/A,#N/A,FALSE,"PV";#N/A,#N/A,FALSE,"Pro Forma"}</definedName>
    <definedName name="cc" hidden="1">{#N/A,#N/A,FALSE,"LoanAssumptions"}</definedName>
    <definedName name="ccc" hidden="1">{#N/A,#N/A,FALSE,"LoanAssumptions"}</definedName>
    <definedName name="check2" hidden="1">{#N/A,#N/A,FALSE,"Cashflow Analysis";#N/A,#N/A,FALSE,"Sensitivity Analysis";#N/A,#N/A,FALSE,"PV";#N/A,#N/A,FALSE,"Pro Forma"}</definedName>
    <definedName name="construction" hidden="1">{"Construction Costs",#N/A,FALSE,"Total Costs"}</definedName>
    <definedName name="Cottage" hidden="1">{"cot1",#N/A,FALSE,"Cottages";"cot2",#N/A,FALSE,"Cottages";"cot3",#N/A,FALSE,"Cottages"}</definedName>
    <definedName name="cvb" hidden="1">{"toc1",#N/A,FALSE,"TOC";"cover",#N/A,FALSE,"Cover";"ts1",#N/A,FALSE,"Transaction Summary";"ei3",#N/A,FALSE,"Earnings Impact";"ad3",#N/A,FALSE,"accretion dilution"}</definedName>
    <definedName name="cxgxgfgfs" hidden="1">{#N/A,#N/A,FALSE,"Cashflow Analysis";#N/A,#N/A,FALSE,"Sensitivity Analysis";#N/A,#N/A,FALSE,"PV";#N/A,#N/A,FALSE,"Pro Forma"}</definedName>
    <definedName name="cxgxgfgfs.2" hidden="1">{#N/A,#N/A,FALSE,"Cashflow Analysis";#N/A,#N/A,FALSE,"Sensitivity Analysis";#N/A,#N/A,FALSE,"PV";#N/A,#N/A,FALSE,"Pro Forma"}</definedName>
    <definedName name="data" hidden="1">{"data",#N/A,FALSE,"INPUT"}</definedName>
    <definedName name="DATA_01" hidden="1">#REF!</definedName>
    <definedName name="dd" hidden="1">{"MonthlyRentRoll",#N/A,FALSE,"RentRoll"}</definedName>
    <definedName name="ddd" hidden="1">{"MonthlyRentRoll",#N/A,FALSE,"RentRoll"}</definedName>
    <definedName name="df" hidden="1">{"toc1",#N/A,FALSE,"TOC";"cover",#N/A,FALSE,"Cover";"ts1",#N/A,FALSE,"Transaction Summary";"ei3",#N/A,FALSE,"Earnings Impact";"ad3",#N/A,FALSE,"accretion dilution"}</definedName>
    <definedName name="dfg" hidden="1">{"cover",#N/A,TRUE,"Cover";"toc6",#N/A,TRUE,"TOC";"over",#N/A,TRUE,"Overview";"ts2",#N/A,TRUE,"Det_Trans_Sum";"ei",#N/A,TRUE,"Earnings Impact";"ad",#N/A,TRUE,"accretion dilution";"hg",#N/A,TRUE,"Has-Gets";"pfis",#N/A,TRUE,"Pro Forma Income Statement";"ca",#N/A,TRUE,"Contribution_Analysis";"acq",#N/A,TRUE,"Acquirer";"tar",#N/A,TRUE,"Target"}</definedName>
    <definedName name="dfgd" hidden="1">{#N/A,#N/A,FALSE,"Cashflow Analysis";#N/A,#N/A,FALSE,"Sensitivity Analysis";#N/A,#N/A,FALSE,"PV";#N/A,#N/A,FALSE,"Pro Forma"}</definedName>
    <definedName name="dfgt" hidden="1">{"cover",#N/A,TRUE,"Cover";"toc6",#N/A,TRUE,"TOC";"over",#N/A,TRUE,"Overview";"ts2",#N/A,TRUE,"Det_Trans_Sum";"ei1",#N/A,TRUE,"Earnings Impact";"ad1",#N/A,TRUE,"accretion dilution";"hg1",#N/A,TRUE,"Has-Gets";"pfis1",#N/A,TRUE,"Pro Forma Income Statement";"ca1",#N/A,TRUE,"Contribution_Analysis";"acq1",#N/A,TRUE,"Acquirer";"tar1",#N/A,TRUE,"Target"}</definedName>
    <definedName name="dis" hidden="1">{#N/A,#N/A,FALSE,"Cashflow Analysis";#N/A,#N/A,FALSE,"Sensitivity Analysis";#N/A,#N/A,FALSE,"PV";#N/A,#N/A,FALSE,"Pro Forma"}</definedName>
    <definedName name="dis.2" hidden="1">{#N/A,#N/A,FALSE,"Cashflow Analysis";#N/A,#N/A,FALSE,"Sensitivity Analysis";#N/A,#N/A,FALSE,"PV";#N/A,#N/A,FALSE,"Pro Forma"}</definedName>
    <definedName name="drg" hidden="1">{"cover",#N/A,TRUE,"Cover";"toc5",#N/A,TRUE,"TOC";"over",#N/A,TRUE,"Overview";"ts2",#N/A,TRUE,"Det_Trans_Sum";"ei3",#N/A,TRUE,"Earnings Impact";"ad3",#N/A,TRUE,"accretion dilution";"pfis3",#N/A,TRUE,"Pro Forma Income Statement";"ca3",#N/A,TRUE,"Contribution_Analysis";"acq3",#N/A,TRUE,"Acquirer";"tar3",#N/A,TRUE,"Target"}</definedName>
    <definedName name="ee" hidden="1">{#N/A,#N/A,FALSE,"OperatingAssumptions"}</definedName>
    <definedName name="eee" hidden="1">{#N/A,#N/A,FALSE,"OperatingAssumptions"}</definedName>
    <definedName name="eh" hidden="1">{"cover",#N/A,TRUE,"Cover";"toc3",#N/A,TRUE,"TOC";"over",#N/A,TRUE,"Overview";"ts2",#N/A,TRUE,"Det_Trans_Sum";"ei2c",#N/A,TRUE,"Earnings Impact";"ad2",#N/A,TRUE,"accretion dilution";"pfis2",#N/A,TRUE,"Pro Forma Income Statement";"acq2c",#N/A,TRUE,"Acquirer";"tar2c",#N/A,TRUE,"Target"}</definedName>
    <definedName name="ellen" hidden="1">{#N/A,#N/A,FALSE,"WATCHDSC";#N/A,#N/A,FALSE,"2LOSSMOD";#N/A,#N/A,FALSE,"2LOSS";#N/A,#N/A,FALSE,"DSC";#N/A,#N/A,FALSE,"OPERAT";#N/A,#N/A,FALSE,"ADJUST";#N/A,#N/A,FALSE,"LEASE EXPIRE"}</definedName>
    <definedName name="fd" hidden="1">#REF!</definedName>
    <definedName name="fds" hidden="1">{"Annual Cash Flows",#N/A,FALSE,"Annual Summary";"qtrl1",#N/A,FALSE,"QTLY Summary";"qtrl2",#N/A,FALSE,"QTLY Summary";"qtrl3",#N/A,FALSE,"QTLY Summary";"qtrl4",#N/A,FALSE,"QTLY Summary";"qtrl5",#N/A,FALSE,"QTLY Summary";"qtrl6",#N/A,FALSE,"QTLY Summary"}</definedName>
    <definedName name="ff" hidden="1">{#N/A,#N/A,TRUE,"Summary";"AnnualRentRoll",#N/A,TRUE,"RentRoll";#N/A,#N/A,TRUE,"ExitStratigy";#N/A,#N/A,TRUE,"OperatingAssumptions"}</definedName>
    <definedName name="fff" hidden="1">{#N/A,#N/A,TRUE,"Summary";"AnnualRentRoll",#N/A,TRUE,"RentRoll";#N/A,#N/A,TRUE,"ExitStratigy";#N/A,#N/A,TRUE,"OperatingAssumptions"}</definedName>
    <definedName name="ffffff" hidden="1">{#N/A,#N/A,FALSE,"Cashflow Analysis";#N/A,#N/A,FALSE,"Sensitivity Analysis";#N/A,#N/A,FALSE,"PV";#N/A,#N/A,FALSE,"Pro Forma"}</definedName>
    <definedName name="ffffff.2" hidden="1">{#N/A,#N/A,FALSE,"Cashflow Analysis";#N/A,#N/A,FALSE,"Sensitivity Analysis";#N/A,#N/A,FALSE,"PV";#N/A,#N/A,FALSE,"Pro Forma"}</definedName>
    <definedName name="fh" hidden="1">{"cover",#N/A,TRUE,"Cover";"toc9",#N/A,TRUE,"TOC";"over",#N/A,TRUE,"Overview";"ts2",#N/A,TRUE,"Det_Trans_Sum";"ei",#N/A,TRUE,"Earnings Impact";"ad1",#N/A,TRUE,"accretion dilution";"pfis",#N/A,TRUE,"Pro Forma Income Statement";"ca",#N/A,TRUE,"Contribution_Analysis";"profba",#N/A,TRUE,"Pro Forma Balance Sheet";"acq",#N/A,TRUE,"Acquirer";"tar",#N/A,TRUE,"Target"}</definedName>
    <definedName name="filler" hidden="1">{"Annual Cash Flows",#N/A,FALSE,"Annual Summary"}</definedName>
    <definedName name="filler2" hidden="1">{"Assumptions",#N/A,FALSE,"Assumptions"}</definedName>
    <definedName name="filler3" hidden="1">{"Construction Costs",#N/A,FALSE,"Total Costs"}</definedName>
    <definedName name="g_1" hidden="1">{"Cover",#N/A,TRUE,"Sheet1";"Value",#N/A,TRUE,"Sheet1";"Sensitivity",#N/A,TRUE,"Sheet1";"Asset CF",#N/A,TRUE,"Sheet1";"Pship NCF",#N/A,TRUE,"Sheet1";"Pship Equity Value",#N/A,TRUE,"Sheet1";"Pship Distributions",#N/A,TRUE,"Sheet1";"JV Splits 1",#N/A,TRUE,"Sheet1";"JV Splits 2",#N/A,TRUE,"Sheet1";"MIR Split 1",#N/A,TRUE,"Sheet1";"Assumptions",#N/A,TRUE,"Sheet1"}</definedName>
    <definedName name="g_2" hidden="1">{"Cover",#N/A,TRUE,"Sheet1";"Value",#N/A,TRUE,"Sheet1";"Sensitivity",#N/A,TRUE,"Sheet1";"Asset CF",#N/A,TRUE,"Sheet1";"Pship NCF",#N/A,TRUE,"Sheet1";"Pship Equity Value",#N/A,TRUE,"Sheet1";"Pship Distributions",#N/A,TRUE,"Sheet1";"JV Splits 1",#N/A,TRUE,"Sheet1";"JV Splits 2",#N/A,TRUE,"Sheet1";"MIR Split 1",#N/A,TRUE,"Sheet1";"Assumptions",#N/A,TRUE,"Sheet1"}</definedName>
    <definedName name="g_3" hidden="1">{"Cover",#N/A,TRUE,"Sheet1";"Value",#N/A,TRUE,"Sheet1";"Sensitivity",#N/A,TRUE,"Sheet1";"Asset CF",#N/A,TRUE,"Sheet1";"Pship NCF",#N/A,TRUE,"Sheet1";"Pship Equity Value",#N/A,TRUE,"Sheet1";"Pship Distributions",#N/A,TRUE,"Sheet1";"JV Splits 1",#N/A,TRUE,"Sheet1";"JV Splits 2",#N/A,TRUE,"Sheet1";"MIR Split 1",#N/A,TRUE,"Sheet1";"Assumptions",#N/A,TRUE,"Sheet1"}</definedName>
    <definedName name="gegeg" hidden="1">{#N/A,#N/A,FALSE,"Cashflow Analysis";#N/A,#N/A,FALSE,"Sensitivity Analysis";#N/A,#N/A,FALSE,"PV";#N/A,#N/A,FALSE,"Pro Forma"}</definedName>
    <definedName name="gegeg.2" hidden="1">{#N/A,#N/A,FALSE,"Cashflow Analysis";#N/A,#N/A,FALSE,"Sensitivity Analysis";#N/A,#N/A,FALSE,"PV";#N/A,#N/A,FALSE,"Pro Forma"}</definedName>
    <definedName name="gfh" hidden="1">{"toc1",#N/A,FALSE,"TOC";"cover",#N/A,FALSE,"Cover";"ts1",#N/A,FALSE,"Transaction Summary";"ei3",#N/A,FALSE,"Earnings Impact";"ad3",#N/A,FALSE,"accretion dilution"}</definedName>
    <definedName name="gg" hidden="1">{#N/A,#N/A,FALSE,"PropertyInfo"}</definedName>
    <definedName name="gg.2" hidden="1">{#N/A,#N/A,FALSE,"Cashflow Analysis";#N/A,#N/A,FALSE,"Sensitivity Analysis";#N/A,#N/A,FALSE,"PV";#N/A,#N/A,FALSE,"Pro Forma"}</definedName>
    <definedName name="ggg" hidden="1">{#N/A,#N/A,FALSE,"PropertyInfo"}</definedName>
    <definedName name="h" hidden="1">{#N/A,#N/A,FALSE,"PropertyInfo"}</definedName>
    <definedName name="hello" hidden="1">{#N/A,#N/A,FALSE,"ACQ_GRAPHS";#N/A,#N/A,FALSE,"T_1 GRAPHS";#N/A,#N/A,FALSE,"T_2 GRAPHS";#N/A,#N/A,FALSE,"COMB_GRAPHS"}</definedName>
    <definedName name="hh" hidden="1">{#N/A,#N/A,FALSE,"Summary"}</definedName>
    <definedName name="hhh" hidden="1">{#N/A,#N/A,FALSE,"Summary"}</definedName>
    <definedName name="htm_control" hidden="1">{"'monthy'!$A$1:$H$23"}</definedName>
    <definedName name="HTML_CodePage" hidden="1">1252</definedName>
    <definedName name="HTML_Control" hidden="1">{"'Rent Analysis'!$A$1:$M$45"}</definedName>
    <definedName name="HTML_Description" hidden="1">""</definedName>
    <definedName name="HTML_Email" hidden="1">"parrish@dynexcapital.com"</definedName>
    <definedName name="HTML_Header" hidden="1">"Rent Analysis"</definedName>
    <definedName name="HTML_LastUpdate" hidden="1">"07/19/98"</definedName>
    <definedName name="HTML_LineAfter" hidden="1">FALSE</definedName>
    <definedName name="HTML_LineBefore" hidden="1">FALSE</definedName>
    <definedName name="HTML_Name" hidden="1">"Russell S. Parrish"</definedName>
    <definedName name="HTML_OBDlg2" hidden="1">TRUE</definedName>
    <definedName name="HTML_OBDlg4" hidden="1">TRUE</definedName>
    <definedName name="HTML_OS" hidden="1">0</definedName>
    <definedName name="HTML_PathFile" hidden="1">"I:\Village Green Apts\MyHTML.htm"</definedName>
    <definedName name="HTML_Title" hidden="1">"Vill Grn Exec Sum Frwrd Excel"</definedName>
    <definedName name="HTML1_1" hidden="1">"[FCFF3]Sheet1!$A$1:$L$34"</definedName>
    <definedName name="HTML1_10" hidden="1">""</definedName>
    <definedName name="HTML1_11" hidden="1">1</definedName>
    <definedName name="HTML1_12" hidden="1">"Aswath:Adobe SiteMill™ 1.0.2:MyHomePage:FCFF3.html"</definedName>
    <definedName name="HTML1_2" hidden="1">1</definedName>
    <definedName name="HTML1_3" hidden="1">"FCFF3"</definedName>
    <definedName name="HTML1_4" hidden="1">"Three-Stage FCFF Model"</definedName>
    <definedName name="HTML1_5" hidden="1">""</definedName>
    <definedName name="HTML1_6" hidden="1">-4146</definedName>
    <definedName name="HTML1_7" hidden="1">-4146</definedName>
    <definedName name="HTML1_8" hidden="1">"10/22/96"</definedName>
    <definedName name="HTML1_9" hidden="1">"Aswath Damodaran"</definedName>
    <definedName name="HTMLCount" hidden="1">1</definedName>
    <definedName name="IntroPrintArea" hidden="1">#REF!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ACCOUNT_CHANGE" hidden="1">"c413"</definedName>
    <definedName name="IQ_ACCOUNTS_PAY" hidden="1">"c32"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"c8"</definedName>
    <definedName name="IQ_ACCUM_DEP" hidden="1">"c7"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RE_ASSETS" hidden="1">"c1628"</definedName>
    <definedName name="IQ_AD" hidden="1">"c7"</definedName>
    <definedName name="IQ_ADD_PAID_IN" hidden="1">"c39"</definedName>
    <definedName name="IQ_ADDIN" hidden="1">"AUTO"</definedName>
    <definedName name="IQ_ADDITIONAL_NON_INT_INC_FDIC" hidden="1">"c6574"</definedName>
    <definedName name="IQ_ADJUSTABLE_RATE_LOANS_FDIC" hidden="1">"c6375"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FTER_TAX_INCOME_FDIC" hidden="1">"c6583"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LLOW_BORROW_CONST" hidden="1">"c15"</definedName>
    <definedName name="IQ_ALLOW_CONST" hidden="1">"c16"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ENSE_FDIC" hidden="1">"c6677"</definedName>
    <definedName name="IQ_AMORTIZATION" hidden="1">"c1471"</definedName>
    <definedName name="IQ_AMORTIZED_COST_FDIC" hidden="1">"c6426"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HELD_FDIC" hidden="1">"c6305"</definedName>
    <definedName name="IQ_ASSETS_PER_EMPLOYEE_FDIC" hidden="1">"c6737"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UDITOR_NAME" hidden="1">"c1539"</definedName>
    <definedName name="IQ_AUDITOR_OPINION" hidden="1">"c1540"</definedName>
    <definedName name="IQ_AUTO_WRITTEN" hidden="1">"c62"</definedName>
    <definedName name="IQ_AVAILABLE_FOR_SALE_FDIC" hidden="1">"c6409"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V" hidden="1">"c84"</definedName>
    <definedName name="IQ_AVG_VOLUME" hidden="1">"c65"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GUARANTOR_FDIC" hidden="1">"c6506"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S_FOREIGN_COUNTRIES_TOTAL_DEPOSITS_FDIC" hidden="1">"c6475"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TA" hidden="1">"c88"</definedName>
    <definedName name="IQ_BIG_INT_BEAR_CD" hidden="1">"c89"</definedName>
    <definedName name="IQ_BOARD_MEMBER" hidden="1">"c96"</definedName>
    <definedName name="IQ_BOARD_MEMBER_TITLE" hidden="1">"c97"</definedName>
    <definedName name="IQ_BONDRATING_FITCH" hidden="1">"IQ_BONDRATING_FITCH"</definedName>
    <definedName name="IQ_BONDRATING_SP" hidden="1">"IQ_BONDRATING_SP"</definedName>
    <definedName name="IQ_BOOK_VALUE" hidden="1">"IQ_BOOK_VALUE"</definedName>
    <definedName name="IQ_BROK_COMISSION" hidden="1">"c98"</definedName>
    <definedName name="IQ_BROKERED_DEPOSITS_FDIC" hidden="1">"c6486"</definedName>
    <definedName name="IQ_BUILDINGS" hidden="1">"c99"</definedName>
    <definedName name="IQ_BUSINESS_DESCRIPTION" hidden="1">"c322"</definedName>
    <definedName name="IQ_BV_OVER_SHARES" hidden="1">"c100"</definedName>
    <definedName name="IQ_BV_SHARE" hidden="1">"c100"</definedName>
    <definedName name="IQ_CAL_Q" hidden="1">"c101"</definedName>
    <definedName name="IQ_CAL_Y" hidden="1">"c102"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"c115"</definedName>
    <definedName name="IQ_CAPITAL_LEASES" hidden="1">"c115"</definedName>
    <definedName name="IQ_CASH" hidden="1">"c118"</definedName>
    <definedName name="IQ_CASH_ACQUIRE_CF" hidden="1">"c1630"</definedName>
    <definedName name="IQ_CASH_CONVERSION" hidden="1">"c117"</definedName>
    <definedName name="IQ_CASH_DIVIDENDS_NET_INCOME_FDIC" hidden="1">"c6738"</definedName>
    <definedName name="IQ_CASH_DUE_BANKS" hidden="1">"c118"</definedName>
    <definedName name="IQ_CASH_EQUIV" hidden="1">"c118"</definedName>
    <definedName name="IQ_CASH_FINAN" hidden="1">"c119"</definedName>
    <definedName name="IQ_CASH_IN_PROCESS_FDIC" hidden="1">"c6386"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T" hidden="1">"c124"</definedName>
    <definedName name="IQ_CASH_ST_INVEST" hidden="1">"c124"</definedName>
    <definedName name="IQ_CASH_TAXES" hidden="1">"c125"</definedName>
    <definedName name="IQ_CCE_FDIC" hidden="1">"c6296"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"c161"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OSEPRICE" hidden="1">"c174"</definedName>
    <definedName name="IQ_CMO_FDIC" hidden="1">"c6406"</definedName>
    <definedName name="IQ_COGS" hidden="1">"c175"</definedName>
    <definedName name="IQ_COLLECTION_DOMESTIC_FDIC" hidden="1">"c6387"</definedName>
    <definedName name="IQ_COMBINED_RATIO" hidden="1">"c176"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LOANS_NET_FDIC" hidden="1">"c6317"</definedName>
    <definedName name="IQ_COMMERCIAL_INDUSTRIAL_NET_CHARGE_OFFS_FDIC" hidden="1">"c6636"</definedName>
    <definedName name="IQ_COMMERCIAL_INDUSTRIAL_RECOVERIES_FDIC" hidden="1">"c6617"</definedName>
    <definedName name="IQ_COMMERCIAL_INDUSTRIAL_TOTAL_LOANS_FOREIGN_FDIC" hidden="1">"c6451"</definedName>
    <definedName name="IQ_COMMERCIAL_MORT" hidden="1">"c179"</definedName>
    <definedName name="IQ_COMMERCIAL_RE_CONSTRUCTION_LAND_DEV_FDIC" hidden="1">"c6526"</definedName>
    <definedName name="IQ_COMMERCIAL_RE_LOANS_FDIC" hidden="1">"c6312"</definedName>
    <definedName name="IQ_COMMISS_FEES" hidden="1">"c180"</definedName>
    <definedName name="IQ_COMMISSION_DEF" hidden="1">"c181"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"c182"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REET1" hidden="1">"c217"</definedName>
    <definedName name="IQ_COMPANY_STREET2" hidden="1">"c218"</definedName>
    <definedName name="IQ_COMPANY_TICKER" hidden="1">"c219"</definedName>
    <definedName name="IQ_COMPANY_WEBSITE" hidden="1">"c220"</definedName>
    <definedName name="IQ_COMPANY_ZIP" hidden="1">"c221"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OANS" hidden="1">"c222"</definedName>
    <definedName name="IQ_CONSUMER_LOANS" hidden="1">"c223"</definedName>
    <definedName name="IQ_CONTRACTS_OTHER_COMMODITIES_EQUITIES_FDIC" hidden="1">"c6522"</definedName>
    <definedName name="IQ_CONV_RATE" hidden="1">"c2192"</definedName>
    <definedName name="IQ_CONVEYED_TO_OTHERS_FDIC" hidden="1">"c6534"</definedName>
    <definedName name="IQ_CORE_CAPITAL_RATIO_FDIC" hidden="1">"c6745"</definedName>
    <definedName name="IQ_COST_BORROWINGS" hidden="1">"c225"</definedName>
    <definedName name="IQ_COST_OF_FUNDING_ASSETS_FDIC" hidden="1">"c6725"</definedName>
    <definedName name="IQ_COST_REV" hidden="1">"c226"</definedName>
    <definedName name="IQ_COST_REVENUE" hidden="1">"c226"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Q" hidden="1">5000</definedName>
    <definedName name="IQ_CREDIT_CARD_CHARGE_OFFS_FDIC" hidden="1">"c6652"</definedName>
    <definedName name="IQ_CREDIT_CARD_FEE_BNK" hidden="1">"c231"</definedName>
    <definedName name="IQ_CREDIT_CARD_FEE_FIN" hidden="1">"c1583"</definedName>
    <definedName name="IQ_CREDIT_CARD_LINES_FDIC" hidden="1">"c6525"</definedName>
    <definedName name="IQ_CREDIT_CARD_LOANS_FDIC" hidden="1">"c6319"</definedName>
    <definedName name="IQ_CREDIT_CARD_NET_CHARGE_OFFS_FDIC" hidden="1">"c6654"</definedName>
    <definedName name="IQ_CREDIT_CARD_RECOVERIES_FDIC" hidden="1">"c6653"</definedName>
    <definedName name="IQ_CREDIT_LOSS_CF" hidden="1">"c232"</definedName>
    <definedName name="IQ_CREDIT_LOSS_PROVISION_NET_CHARGE_OFFS_FDIC" hidden="1">"c6734"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YS_COVER_SHORT" hidden="1">"c1578"</definedName>
    <definedName name="IQ_DAYS_INVENTORY_OUT" hidden="1">"c273"</definedName>
    <definedName name="IQ_DAYS_PAY_OUTST" hidden="1">"c274"</definedName>
    <definedName name="IQ_DAYS_PAYABLE_OUT" hidden="1">"c274"</definedName>
    <definedName name="IQ_DAYS_SALES_OUT" hidden="1">"c275"</definedName>
    <definedName name="IQ_DAYS_SALES_OUTST" hidden="1">"c275"</definedName>
    <definedName name="IQ_DEF_ACQ_CST" hidden="1">"c301"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"c313"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INC_TAX" hidden="1">"c315"</definedName>
    <definedName name="IQ_DEFERRED_TAXES" hidden="1">"c147"</definedName>
    <definedName name="IQ_DEMAND_DEP" hidden="1">"c320"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FIN" hidden="1">"c321"</definedName>
    <definedName name="IQ_DEPOSITS_HELD_DOMESTIC_FDIC" hidden="1">"c6340"</definedName>
    <definedName name="IQ_DEPOSITS_HELD_FOREIGN_FDIC" hidden="1">"c6341"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"c247"</definedName>
    <definedName name="IQ_DEPRE_AMORT_SUPPL" hidden="1">"c1593"</definedName>
    <definedName name="IQ_DEPRE_DEPLE" hidden="1">"c261"</definedName>
    <definedName name="IQ_DEPRE_SUPP" hidden="1">"c1443"</definedName>
    <definedName name="IQ_DERIVATIVES_FDIC" hidden="1">"c6523"</definedName>
    <definedName name="IQ_DESCRIPTION_LONG" hidden="1">"c322"</definedName>
    <definedName name="IQ_DEVELOP_LAND" hidden="1">"c323"</definedName>
    <definedName name="IQ_DILUT_ADJUST" hidden="1">"c1621"</definedName>
    <definedName name="IQ_DILUT_EPS_EXCL" hidden="1">"c324"</definedName>
    <definedName name="IQ_DILUT_EPS_INCL" hidden="1">"c325"</definedName>
    <definedName name="IQ_DILUT_NORMAL_EPS" hidden="1">"c1594"</definedName>
    <definedName name="IQ_DILUT_WEIGHT" hidden="1">"c326"</definedName>
    <definedName name="IQ_DISCONT_OPER" hidden="1">"c333"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SHARE" hidden="1">"c330"</definedName>
    <definedName name="IQ_DIVEST_CF" hidden="1">"c331"</definedName>
    <definedName name="IQ_DIVID_SHARE" hidden="1">"c330"</definedName>
    <definedName name="IQ_DIVIDEND_YIELD" hidden="1">"c332"</definedName>
    <definedName name="IQ_DIVIDENDS_DECLARED_COMMON_FDIC" hidden="1">"c6659"</definedName>
    <definedName name="IQ_DIVIDENDS_DECLARED_PREFERRED_FDIC" hidden="1">"c6658"</definedName>
    <definedName name="IQ_DIVIDENDS_FDIC" hidden="1">"c6660"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EARNING_ASSET_YIELD" hidden="1">"c343"</definedName>
    <definedName name="IQ_EARNING_ASSETS_FDIC" hidden="1">"c6360"</definedName>
    <definedName name="IQ_EARNING_ASSETS_YIELD_FDIC" hidden="1">"c6724"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COVERAGE_NET_CHARGE_OFFS_FDIC" hidden="1">"c6735"</definedName>
    <definedName name="IQ_EBIT" hidden="1">"c352"</definedName>
    <definedName name="IQ_EBIT_10K" hidden="1">"IQ_EBIT_10K"</definedName>
    <definedName name="IQ_EBIT_10K1" hidden="1">"IQ_EBIT_10K"</definedName>
    <definedName name="IQ_EBIT_10Q" hidden="1">"IQ_EBIT_10Q"</definedName>
    <definedName name="IQ_EBIT_10Q1" hidden="1">"IQ_EBIT_10Q1"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GROWTH_1" hidden="1">"IQ_EBIT_GROWTH_1"</definedName>
    <definedName name="IQ_EBIT_GROWTH_2" hidden="1">"IQ_EBIT_GROWTH_2"</definedName>
    <definedName name="IQ_EBIT_INT" hidden="1">"c360"</definedName>
    <definedName name="IQ_EBIT_MARGIN" hidden="1">"c359"</definedName>
    <definedName name="IQ_EBIT_OVER_IE" hidden="1">"c360"</definedName>
    <definedName name="IQ_EBITDA" hidden="1">"c361"</definedName>
    <definedName name="IQ_EBITDA_10K" hidden="1">"IQ_EBITDA_10K"</definedName>
    <definedName name="IQ_EBITDA_10Q" hidden="1">"IQ_EBITDA_10Q"</definedName>
    <definedName name="IQ_EBITDA_10Q1" hidden="1">"IQ_EBITDA_10Q1"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"c368"</definedName>
    <definedName name="IQ_EBITDA_EST" hidden="1">"c369"</definedName>
    <definedName name="IQ_EBITDA_GROWTH_1" hidden="1">"IQ_EBITDA_GROWTH_1"</definedName>
    <definedName name="IQ_EBITDA_GROWTH_2" hidden="1">"IQ_EBITDA_GROWTH_2"</definedName>
    <definedName name="IQ_EBITDA_HIGH_EST" hidden="1">"c370"</definedName>
    <definedName name="IQ_EBITDA_INT" hidden="1">"c373"</definedName>
    <definedName name="IQ_EBITDA_LOW_EST" hidden="1">"c371"</definedName>
    <definedName name="IQ_EBITDA_MARGIN" hidden="1">"c372"</definedName>
    <definedName name="IQ_EBITDA_NUM_EST" hidden="1">"c374"</definedName>
    <definedName name="IQ_EBITDA_OVER_TOTAL_IE" hidden="1">"c373"</definedName>
    <definedName name="IQ_EBITDA_STDDEV_EST" hidden="1">"c375"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ICIENCY_RATIO" hidden="1">"c391"</definedName>
    <definedName name="IQ_EFFICIENCY_RATIO_FDIC" hidden="1">"c6736"</definedName>
    <definedName name="IQ_EMPLOYEES" hidden="1">"c392"</definedName>
    <definedName name="IQ_ENTERPRISE_VALUE" hidden="1">"c84"</definedName>
    <definedName name="IQ_EPS" hidden="1">"IQ_EPS"</definedName>
    <definedName name="IQ_EPS_10K" hidden="1">"IQ_EPS_10K"</definedName>
    <definedName name="IQ_EPS_10Q" hidden="1">"IQ_EPS_10Q"</definedName>
    <definedName name="IQ_EPS_10Q1" hidden="1">"IQ_EPS_10Q1"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EST" hidden="1">"c399"</definedName>
    <definedName name="IQ_EPS_EST_1" hidden="1">"IQ_EPS_EST_1"</definedName>
    <definedName name="IQ_EPS_ESTIMATE" hidden="1">"IQ_EPS_EST"</definedName>
    <definedName name="IQ_EPS_HIGH_EST" hidden="1">"c400"</definedName>
    <definedName name="IQ_EPS_LOW_EST" hidden="1">"c401"</definedName>
    <definedName name="IQ_EPS_NUM_EST" hidden="1">"c402"</definedName>
    <definedName name="IQ_EPS_STDDEV_EST" hidden="1">"c403"</definedName>
    <definedName name="IQ_EQUITY_AFFIL" hidden="1">"c552"</definedName>
    <definedName name="IQ_EQUITY_CAPITAL_ASSETS_FDIC" hidden="1">"c6744"</definedName>
    <definedName name="IQ_EQUITY_FDIC" hidden="1">"c6353"</definedName>
    <definedName name="IQ_EQUITY_METHOD" hidden="1">"c404"</definedName>
    <definedName name="IQ_EQUITY_SECURITIES_FDIC" hidden="1">"c6304"</definedName>
    <definedName name="IQ_EQUITY_SECURITY_EXPOSURES_FDIC" hidden="1">"c6664"</definedName>
    <definedName name="IQ_EQV_OVER_BV" hidden="1">"c1596"</definedName>
    <definedName name="IQ_EQV_OVER_LTM_PRETAX_INC" hidden="1">"c739"</definedName>
    <definedName name="IQ_ESOP_DEBT" hidden="1">"c1597"</definedName>
    <definedName name="IQ_EST_ACT_EPS" hidden="1">"c1648"</definedName>
    <definedName name="IQ_EST_DATE" hidden="1">"c1634"</definedName>
    <definedName name="IQ_EST_EPS_GROWTH_1YR" hidden="1">"c1636"</definedName>
    <definedName name="IQ_EST_EPS_GROWTH_2YR" hidden="1">"c1637"</definedName>
    <definedName name="IQ_EST_EPS_GROWTH_Q_1YR" hidden="1">"c1641"</definedName>
    <definedName name="IQ_EST_EPS_SURPRISE" hidden="1">"c1635"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STIMATED_ASSESSABLE_DEPOSITS_FDIC" hidden="1">"c6490"</definedName>
    <definedName name="IQ_ESTIMATED_INSURED_DEPOSITS_FDIC" hidden="1">"c6491"</definedName>
    <definedName name="IQ_EV_OVER_EMPLOYEE" hidden="1">"c1225"</definedName>
    <definedName name="IQ_EV_OVER_LTM_EBIT" hidden="1">"c1221"</definedName>
    <definedName name="IQ_EV_OVER_LTM_EBITDA" hidden="1">"c1223"</definedName>
    <definedName name="IQ_EV_OVER_LTM_REVENUE" hidden="1">"c1227"</definedName>
    <definedName name="IQ_EV_OVER_REVENUE_EST" hidden="1">"IQ_EV_OVER_REVENUE_EST"</definedName>
    <definedName name="IQ_EV_OVER_REVENUE_EST_1" hidden="1">"IQ_EV_OVER_REVENUE_EST_1"</definedName>
    <definedName name="IQ_EXCHANGE" hidden="1">"c405"</definedName>
    <definedName name="IQ_EXERCISE_PRICE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"c413"</definedName>
    <definedName name="IQ_EXTRAORDINARY_GAINS_FDIC" hidden="1">"c6586"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LOANS_FDIC" hidden="1">"c6314"</definedName>
    <definedName name="IQ_FDIC" hidden="1">"c417"</definedName>
    <definedName name="IQ_FED_FUNDS_PURCHASED_FDIC" hidden="1">"c6343"</definedName>
    <definedName name="IQ_FED_FUNDS_SOLD_FDIC" hidden="1">"c6307"</definedName>
    <definedName name="IQ_FFO" hidden="1">"c1574"</definedName>
    <definedName name="IQ_FFO_EST" hidden="1">"c418"</definedName>
    <definedName name="IQ_FFO_HIGH_EST" hidden="1">"c419"</definedName>
    <definedName name="IQ_FFO_LOW_EST" hidden="1">"c420"</definedName>
    <definedName name="IQ_FFO_NUM_EST" hidden="1">"c421"</definedName>
    <definedName name="IQ_FFO_STDDEV_EST" hidden="1">"c422"</definedName>
    <definedName name="IQ_FH" hidden="1">100000</definedName>
    <definedName name="IQ_FHLB_ADVANCES_FDIC" hidden="1">"c6366"</definedName>
    <definedName name="IQ_FHLB_DEBT" hidden="1">"c423"</definedName>
    <definedName name="IQ_FIDUCIARY_ACTIVITIES_FDIC" hidden="1">"c6571"</definedName>
    <definedName name="IQ_FIFETEEN_YEAR_FIXED_AND_FLOATING_RATE_FDIC" hidden="1">"c6423"</definedName>
    <definedName name="IQ_FIFETEEN_YEAR_MORTGAGE_PASS_THROUGHS_FDIC" hidden="1">"c6415"</definedName>
    <definedName name="IQ_FILINGDATE_BS" hidden="1">"c424"</definedName>
    <definedName name="IQ_FILINGDATE_CF" hidden="1">"c425"</definedName>
    <definedName name="IQ_FILINGDATE_IS" hidden="1">"c426"</definedName>
    <definedName name="IQ_FIN_DIV_ASSETS_CURRENT" hidden="1">"c427"</definedName>
    <definedName name="IQ_FIN_DIV_ASSETS_LT" hidden="1">"c428"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NOTES_PAY_TOTAL" hidden="1">"c5522"</definedName>
    <definedName name="IQ_FIN_DIV_REV" hidden="1">"c437"</definedName>
    <definedName name="IQ_FINANCING_CASH" hidden="1">"c893"</definedName>
    <definedName name="IQ_FINANCING_CASH_SUPPL" hidden="1">"c899"</definedName>
    <definedName name="IQ_FINISHED_INV" hidden="1">"c438"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_YEAR_FIXED_AND_FLOATING_RATE_FDIC" hidden="1">"c6422"</definedName>
    <definedName name="IQ_FIVE_YEAR_MORTGAGE_PASS_THROUGHS_FDIC" hidden="1">"c6414"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LOAN_CHARG_OFFS_FDIC" hidden="1">"c6645"</definedName>
    <definedName name="IQ_FOREIGN_BANKS_NET_CHARGE_OFFS_FDIC" hidden="1">"c6647"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NONTRANSACTION_ACCOUNTS_FDIC" hidden="1">"c6549"</definedName>
    <definedName name="IQ_FOREIGN_DEPOSITS_TRANSACTION_ACCOUNTS_FDIC" hidden="1">"c6541"</definedName>
    <definedName name="IQ_FOREIGN_EXCHANGE" hidden="1">"c451"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ULLY_INSURED_DEPOSITS_FDIC" hidden="1">"c6487"</definedName>
    <definedName name="IQ_FUTURES_FORWARD_CONTRACTS_NOTIONAL_AMOUNT_FDIC" hidden="1">"c6518"</definedName>
    <definedName name="IQ_FUTURES_FORWARD_CONTRACTS_RATE_RISK_FDIC" hidden="1">"c6508"</definedName>
    <definedName name="IQ_FWD" hidden="1">"LTM"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WD_Q3" hidden="1">"504"</definedName>
    <definedName name="IQ_FWD_Q4" hidden="1">"505"</definedName>
    <definedName name="IQ_FWD_Q5" hidden="1">"506"</definedName>
    <definedName name="IQ_FWD_Q6" hidden="1">"507"</definedName>
    <definedName name="IQ_FWD_Q7" hidden="1">"508"</definedName>
    <definedName name="IQ_FWD1" hidden="1">"LTM"</definedName>
    <definedName name="IQ_FX" hidden="1">"c451"</definedName>
    <definedName name="IQ_FX_CONTRACTS_FDIC" hidden="1">"c6517"</definedName>
    <definedName name="IQ_FX_CONTRACTS_SPOT_FDIC" hidden="1">"c6356"</definedName>
    <definedName name="IQ_FY" hidden="1">1000</definedName>
    <definedName name="IQ_FY_DATE" hidden="1">"IQ_FY_DATE"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"c452"</definedName>
    <definedName name="IQ_GAIN_SALE_LOANS_FDIC" hidden="1">"c6673"</definedName>
    <definedName name="IQ_GAIN_SALE_RE_FDIC" hidden="1">"c6674"</definedName>
    <definedName name="IQ_GAINS_SALE_ASSETS_FDIC" hidden="1">"c6675"</definedName>
    <definedName name="IQ_GNMA_FDIC" hidden="1">"c6398"</definedName>
    <definedName name="IQ_GOODWILL_FDIC" hidden="1">"c6334"</definedName>
    <definedName name="IQ_GOODWILL_IMPAIRMENT_FDIC" hidden="1">"c6678"</definedName>
    <definedName name="IQ_GOODWILL_INTAN_FDIC" hidden="1">"c6333"</definedName>
    <definedName name="IQ_GOODWILL_NET" hidden="1">"c530"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"c192"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"c511"</definedName>
    <definedName name="IQ_GW" hidden="1">"c530"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ELD_MATURITY_FDIC" hidden="1">"c6408"</definedName>
    <definedName name="IQ_HIGHPRICE" hidden="1">"c545"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OWNERS_WRITTEN" hidden="1">"c546"</definedName>
    <definedName name="IQ_IMPAIR_OIL" hidden="1">"c547"</definedName>
    <definedName name="IQ_IMPAIRMENT_GW" hidden="1">"c548"</definedName>
    <definedName name="IQ_INC_AFTER_TAX" hidden="1">"c1598"</definedName>
    <definedName name="IQ_INC_AVAIL_EXCL" hidden="1">"c789"</definedName>
    <definedName name="IQ_INC_AVAIL_INCL" hidden="1">"c791"</definedName>
    <definedName name="IQ_INC_BEFORE_TAX" hidden="1">"c386"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EARNED_FDIC" hidden="1">"c6359"</definedName>
    <definedName name="IQ_INCOME_TAXES_FDIC" hidden="1">"c6582"</definedName>
    <definedName name="IQ_INDIVIDUALS_CHARGE_OFFS_FDIC" hidden="1">"c6599"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LOANS_FDIC" hidden="1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UNDERWRITING_INCOME_FDIC" hidden="1">"c6671"</definedName>
    <definedName name="IQ_INT_BORROW" hidden="1">"c583"</definedName>
    <definedName name="IQ_INT_DEMAND_NOTES_FDIC" hidden="1">"c6567"</definedName>
    <definedName name="IQ_INT_DEPOSITS" hidden="1">"c584"</definedName>
    <definedName name="IQ_INT_DIV_INC" hidden="1">"c585"</definedName>
    <definedName name="IQ_INT_DOMESTIC_DEPOSITS_FDIC" hidden="1">"c6564"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REIT" hidden="1">"c590"</definedName>
    <definedName name="IQ_INT_EXP_TOTAL" hidden="1">"c591"</definedName>
    <definedName name="IQ_INT_EXP_TOTAL_FDIC" hidden="1">"c6569"</definedName>
    <definedName name="IQ_INT_EXP_UTI" hidden="1">"c592"</definedName>
    <definedName name="IQ_INT_FED_FUNDS_FDIC" hidden="1">"c6566"</definedName>
    <definedName name="IQ_INT_FOREIGN_DEPOSITS_FDIC" hidden="1">"c6565"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FED_FUNDS_FDIC" hidden="1">"c6561"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IT" hidden="1">"c597"</definedName>
    <definedName name="IQ_INT_INC_SECURITIES_FDIC" hidden="1">"c6559"</definedName>
    <definedName name="IQ_INT_INC_TOTAL" hidden="1">"c598"</definedName>
    <definedName name="IQ_INT_INC_TOTAL_FDIC" hidden="1">"c6563"</definedName>
    <definedName name="IQ_INT_INC_TRADING_ACCOUNTS_FDIC" hidden="1">"c6560"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_SUB_NOTES_FDIC" hidden="1">"c6568"</definedName>
    <definedName name="IQ_INTANGIBLES_NET" hidden="1">"c907"</definedName>
    <definedName name="IQ_INTEREST_BEARING_BALANCES_FDIC" hidden="1">"c6371"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EXP" hidden="1">"c618"</definedName>
    <definedName name="IQ_INTEREST_EXP_NET" hidden="1">"c1450"</definedName>
    <definedName name="IQ_INTEREST_EXP_NON" hidden="1">"c618"</definedName>
    <definedName name="IQ_INTEREST_EXP_SUPPL" hidden="1">"c1460"</definedName>
    <definedName name="IQ_INTEREST_INC" hidden="1">"c769"</definedName>
    <definedName name="IQ_INTEREST_INC_10K" hidden="1">"IQ_INTEREST_INC_10K"</definedName>
    <definedName name="IQ_INTEREST_INC_10Q" hidden="1">"IQ_INTEREST_INC_10Q"</definedName>
    <definedName name="IQ_INTEREST_INC_10Q1" hidden="1">"IQ_INTEREST_INC_10Q1"</definedName>
    <definedName name="IQ_INTEREST_INC_NON" hidden="1">"c619"</definedName>
    <definedName name="IQ_INTEREST_INVEST_INC" hidden="1">"c619"</definedName>
    <definedName name="IQ_INTEREST_RATE_CONTRACTS_FDIC" hidden="1">"c6512"</definedName>
    <definedName name="IQ_INTEREST_RATE_EXPOSURES_FDIC" hidden="1">"c6662"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NVESTMENT_BANKING_OTHER_FEES_FDIC" hidden="1">"c6666"</definedName>
    <definedName name="IQ_IPRD" hidden="1">"c644"</definedName>
    <definedName name="IQ_IRA_KEOGH_ACCOUNTS_FDIC" hidden="1">"c6496"</definedName>
    <definedName name="IQ_ISS_DEBT_NET" hidden="1">"c751"</definedName>
    <definedName name="IQ_ISS_STOCK_NET" hidden="1">"c1601"</definedName>
    <definedName name="IQ_ISSUED_GUARANTEED_US_FDIC" hidden="1">"c6404"</definedName>
    <definedName name="IQ_LAND" hidden="1">"c645"</definedName>
    <definedName name="IQ_LAST_EBIT_MARGIN" hidden="1">"IQ_LAST_EBIT_MARGIN"</definedName>
    <definedName name="IQ_LAST_EBITDA_MARGIN" hidden="1">"IQ_LAST_EBITDA_MARGIN"</definedName>
    <definedName name="IQ_LAST_GROSS_MARGIN" hidden="1">"IQ_LAST_GROSS_MARGIN"</definedName>
    <definedName name="IQ_LAST_NET_INC_MARGIN" hidden="1">"IQ_LAST_NET_INC_MARGIN"</definedName>
    <definedName name="IQ_LASTSALEPRICE" hidden="1">"c646"</definedName>
    <definedName name="IQ_LATEST" hidden="1">"1"</definedName>
    <definedName name="IQ_LATESTK" hidden="1">1000</definedName>
    <definedName name="IQ_LATESTKFR" hidden="1">"100"</definedName>
    <definedName name="IQ_LATESTQ" hidden="1">500</definedName>
    <definedName name="IQ_LATESTQFR" hidden="1">"50"</definedName>
    <definedName name="IQ_LEASE_FINANCING_RECEIVABLES_CHARGE_OFFS_FDIC" hidden="1">"c6602"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IFE_INSURANCE_ASSETS_FDIC" hidden="1">"c6372"</definedName>
    <definedName name="IQ_LIFOR" hidden="1">"c655"</definedName>
    <definedName name="IQ_LL" hidden="1">"c656"</definedName>
    <definedName name="IQ_LOAN_COMMITMENTS_REVOLVING_FDIC" hidden="1">"c6524"</definedName>
    <definedName name="IQ_LOAN_LEASE_RECEIV" hidden="1">"c657"</definedName>
    <definedName name="IQ_LOAN_LOSS" hidden="1">"c656"</definedName>
    <definedName name="IQ_LOAN_LOSS_ALLOW_FDIC" hidden="1">"c6326"</definedName>
    <definedName name="IQ_LOAN_LOSS_ALLOWANCE_NONCURRENT_LOANS_FDIC" hidden="1">"c6740"</definedName>
    <definedName name="IQ_LOAN_LOSSES_FDIC" hidden="1">"c6580"</definedName>
    <definedName name="IQ_LOAN_SERVICE_REV" hidden="1">"c658"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DEPOSITORY_INSTITUTIONS_FDIC" hidden="1">"c6382"</definedName>
    <definedName name="IQ_LOANS_FOR_SALE" hidden="1">"c666"</definedName>
    <definedName name="IQ_LOANS_HELD_FOREIGN_FDIC" hidden="1">"c6315"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NET_FDIC" hidden="1">"c6327"</definedName>
    <definedName name="IQ_LOANS_LEASES_NET_UNEARNED_FDIC" hidden="1">"c6325"</definedName>
    <definedName name="IQ_LOANS_NOT_SECURED_RE_FDIC" hidden="1">"c6381"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URED_BY_RE_CHARGE_OFFS_FDIC" hidden="1">"c6588"</definedName>
    <definedName name="IQ_LOANS_SECURED_BY_RE_RECOVERIES_FDIC" hidden="1">"c6607"</definedName>
    <definedName name="IQ_LOANS_SECURED_NON_US_FDIC" hidden="1">"c6380"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NG_TERM_ASSETS_FDIC" hidden="1">"c6361"</definedName>
    <definedName name="IQ_LONG_TERM_DEBT" hidden="1">"c674"</definedName>
    <definedName name="IQ_LONG_TERM_DEBT_OVER_TOTAL_CAP" hidden="1">"c677"</definedName>
    <definedName name="IQ_LONG_TERM_GROWTH" hidden="1">"c671"</definedName>
    <definedName name="IQ_LONG_TERM_INV" hidden="1">"c697"</definedName>
    <definedName name="IQ_LOSS_ALLOWANCE_LOANS_FDIC" hidden="1">"c6739"</definedName>
    <definedName name="IQ_LOSS_LOSS_EXP" hidden="1">"c672"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DATE" hidden="1">"IQ_LTM_DATE"</definedName>
    <definedName name="IQ_LTM_REVENUE_OVER_EMPLOYEES" hidden="1">"c1304"</definedName>
    <definedName name="IQ_LTMMONTH" hidden="1">120000</definedName>
    <definedName name="IQ_MACHINERY" hidden="1">"c711"</definedName>
    <definedName name="IQ_MARKETCAP" hidden="1">"c712"</definedName>
    <definedName name="IQ_MATURITY_ONE_YEAR_LESS_FDIC" hidden="1">"c6425"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NEY_MARKET_DEPOSIT_ACCOUNTS_FDIC" hidden="1">"c6553"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SERVICING_FDIC" hidden="1">"c6335"</definedName>
    <definedName name="IQ_MULTIFAMILY_RESIDENTIAL_LOANS_FDIC" hidden="1">"c6311"</definedName>
    <definedName name="IQ_NAMES_REVISION_DATE_" hidden="1">40592.4196990741</definedName>
    <definedName name="IQ_NAV_ACT_OR_EST" hidden="1">"c2225"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"c781"</definedName>
    <definedName name="IQ_NET_INC_10K" hidden="1">"IQ_NET_INC_10K"</definedName>
    <definedName name="IQ_NET_INC_10Q" hidden="1">"IQ_NET_INC_10Q"</definedName>
    <definedName name="IQ_NET_INC_10Q1" hidden="1">"IQ_NET_INC_10Q1"</definedName>
    <definedName name="IQ_NET_INC_BEFORE" hidden="1">"c344"</definedName>
    <definedName name="IQ_NET_INC_CF" hidden="1">"c793"</definedName>
    <definedName name="IQ_NET_INC_GROWTH_1" hidden="1">"IQ_NET_INC_GROWTH_1"</definedName>
    <definedName name="IQ_NET_INC_GROWTH_2" hidden="1">"IQ_NET_INC_GROWTH_2"</definedName>
    <definedName name="IQ_NET_INC_MARGIN" hidden="1">"c794"</definedName>
    <definedName name="IQ_NET_INCOME_FDIC" hidden="1">"c6587"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NK_FDIC" hidden="1">"c6570"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"c764"</definedName>
    <definedName name="IQ_NET_INTEREST_INC_AFTER_LL" hidden="1">"c1604"</definedName>
    <definedName name="IQ_NET_INTEREST_MARGIN_FDIC" hidden="1">"c6726"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OPERATING_INCOME_ASSETS_FDIC" hidden="1">"c6729"</definedName>
    <definedName name="IQ_NET_RENTAL_EXP_FN" hidden="1">"c780"</definedName>
    <definedName name="IQ_NET_SECURITIZATION_INCOME_FDIC" hidden="1">"c6669"</definedName>
    <definedName name="IQ_NET_SERVICING_FEES_FDIC" hidden="1">"c6668"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SFAS" hidden="1">"c795"</definedName>
    <definedName name="IQ_NON_ACCRUAL_LOANS" hidden="1">"c796"</definedName>
    <definedName name="IQ_NON_CASH" hidden="1">"c797"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EXP_FDIC" hidden="1">"c6579"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_INC_FDIC" hidden="1">"c6575"</definedName>
    <definedName name="IQ_NON_INTEREST_EXP" hidden="1">"c801"</definedName>
    <definedName name="IQ_NON_INTEREST_INC" hidden="1">"c802"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INTEREST_BEARING_BALANCES_FDIC" hidden="1">"c6394"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TRANSACTION_ACCOUNTS_FDIC" hidden="1">"c6552"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"c1176"</definedName>
    <definedName name="IQ_NOTIONAL_AMOUNT_CREDIT_DERIVATIVES_FDIC" hidden="1">"c6507"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BER_DEPOSITS_LESS_THAN_100K_FDIC" hidden="1">"c6495"</definedName>
    <definedName name="IQ_NUMBER_DEPOSITS_MORE_THAN_100K_FDIC" hidden="1">"c6493"</definedName>
    <definedName name="IQ_OBLIGATIONS_OF_STATES_TOTAL_LOANS_FOREIGN_FDIC" hidden="1">"c6447"</definedName>
    <definedName name="IQ_OBLIGATIONS_STATES_FDIC" hidden="1">"c6431"</definedName>
    <definedName name="IQ_OCCUPY_EXP" hidden="1">"c839"</definedName>
    <definedName name="IQ_OG_TOTAL_OIL_PRODUCTON" hidden="1">"c2059"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ED55" hidden="1">1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"c362"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ISSUED" hidden="1">"c857"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OREIGN_FDIC" hidden="1">"c6460"</definedName>
    <definedName name="IQ_OREO_MULTI_FAMILY_RESIDENTIAL_FDIC" hidden="1">"c6455"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BORROWED_FUNDS_FDIC" hidden="1">"c6345"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URRENT_ASSETS" hidden="1">"c868"</definedName>
    <definedName name="IQ_OTHER_CURRENT_LIAB" hidden="1">"c877"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OMESTIC_DEBT_SECURITIES_FDIC" hidden="1">"c6302"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SURANCE_FEES_FDIC" hidden="1">"c6672"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"c916"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OANS" hidden="1">"c945"</definedName>
    <definedName name="IQ_OTHER_LOANS_CHARGE_OFFS_FDIC" hidden="1">"c6601"</definedName>
    <definedName name="IQ_OTHER_LOANS_FOREIGN_FDIC" hidden="1">"c6446"</definedName>
    <definedName name="IQ_OTHER_LOANS_LEASES_FDIC" hidden="1">"c6322"</definedName>
    <definedName name="IQ_OTHER_LOANS_NET_CHARGE_OFFS_FDIC" hidden="1">"c6639"</definedName>
    <definedName name="IQ_OTHER_LOANS_RECOVERIES_FDIC" hidden="1">"c6620"</definedName>
    <definedName name="IQ_OTHER_LOANS_TOTAL_FDIC" hidden="1">"c6432"</definedName>
    <definedName name="IQ_OTHER_LONG_TERM" hidden="1">"c946"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"c959"</definedName>
    <definedName name="IQ_OTHER_NON_INT_EXP" hidden="1">"c953"</definedName>
    <definedName name="IQ_OTHER_NON_INT_EXP_FDIC" hidden="1">"c6578"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PC_WRITTEN" hidden="1">"c1006"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"c1010"</definedName>
    <definedName name="IQ_OTHER_SAVINGS_DEPOSITS_FDIC" hidden="1">"c6554"</definedName>
    <definedName name="IQ_OTHER_TRANSACTIONS_FDIC" hidden="1">"c6504"</definedName>
    <definedName name="IQ_OTHER_UNUSED_COMMITMENTS_FDIC" hidden="1">"c6530"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"c1022"</definedName>
    <definedName name="IQ_OUTSTANDING_FILING_DATE" hidden="1">"c1023"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PART_TIME" hidden="1">"c1024"</definedName>
    <definedName name="IQ_PARTICIPATION_POOLS_RESIDENTIAL_MORTGAGES_FDIC" hidden="1">"c6403"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Y_ACCRUED" hidden="1">"c8"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RATIO" hidden="1">"c1610"</definedName>
    <definedName name="IQ_PENSION" hidden="1">"c1031"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ERCENT_INSURED_FDIC" hidden="1">"c6374"</definedName>
    <definedName name="IQ_PERIODDATE" hidden="1">"c1034"</definedName>
    <definedName name="IQ_PERIODDATE_BS" hidden="1">"c1032"</definedName>
    <definedName name="IQ_PERIODDATE_CF" hidden="1">"c1033"</definedName>
    <definedName name="IQ_PERIODDATE_FDIC" hidden="1">"c13646"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EDGED_SECURITIES_FDIC" hidden="1">"c6401"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RE_OPEN_COST" hidden="1">"c1040"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"c1052"</definedName>
    <definedName name="IQ_PREF_TOT" hidden="1">"c1044"</definedName>
    <definedName name="IQ_PREFERRED_FDIC" hidden="1">"c6349"</definedName>
    <definedName name="IQ_PREMISES_EQUIPMENT_FDIC" hidden="1">"c6577"</definedName>
    <definedName name="IQ_PREMIUMS_ANNUITY_REV" hidden="1">"c1067"</definedName>
    <definedName name="IQ_PREPAID_EXP" hidden="1">"c1068"</definedName>
    <definedName name="IQ_PREPAID_EXPEN" hidden="1">"c1068"</definedName>
    <definedName name="IQ_PRETAX_INC" hidden="1">"IQ_PRETAX_INC"</definedName>
    <definedName name="IQ_PRETAX_INC_10K" hidden="1">"IQ_PRETAX_INC_10K"</definedName>
    <definedName name="IQ_PRETAX_INC_10Q" hidden="1">"IQ_PRETAX_INC_10Q"</definedName>
    <definedName name="IQ_PRETAX_INC_10Q1" hidden="1">"IQ_PRETAX_INC_10Q1"</definedName>
    <definedName name="IQ_PRETAX_RETURN_ASSETS_FDIC" hidden="1">"c6731"</definedName>
    <definedName name="IQ_PRICE_OVER_BVPS" hidden="1">"c1026"</definedName>
    <definedName name="IQ_PRICE_OVER_EPS_EST" hidden="1">"IQ_PRICE_OVER_EPS_EST"</definedName>
    <definedName name="IQ_PRICE_OVER_EPS_EST_1" hidden="1">"IQ_PRICE_OVER_EPS_EST_1"</definedName>
    <definedName name="IQ_PRICE_OVER_LTM_EPS" hidden="1">"c1029"</definedName>
    <definedName name="IQ_PRICEDATE" hidden="1">"c1069"</definedName>
    <definedName name="IQ_PRICEDATETIME" hidden="1">"IQ_PRICEDATETIME"</definedName>
    <definedName name="IQ_PRICING_DATE" hidden="1">"c1613"</definedName>
    <definedName name="IQ_PRIMARY_INDUSTRY" hidden="1">"c1070"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"c795"</definedName>
    <definedName name="IQ_PROFESSIONAL" hidden="1">"c1071"</definedName>
    <definedName name="IQ_PROFESSIONAL_TITLE" hidden="1">"c1072"</definedName>
    <definedName name="IQ_PROPERTY_EXP" hidden="1">"c1073"</definedName>
    <definedName name="IQ_PROPERTY_GROSS" hidden="1">"c518"</definedName>
    <definedName name="IQ_PROPERTY_MGMT_FEE" hidden="1">"c1074"</definedName>
    <definedName name="IQ_PROPERTY_NET" hidden="1">"c829"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RCHASE_FOREIGN_CURRENCIES_FDIC" hidden="1">"c6513"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_FORECLOSURE_FDIC" hidden="1">"c6332"</definedName>
    <definedName name="IQ_RE_INVEST_FDIC" hidden="1">"c6331"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AL_ESTATE" hidden="1">"c1093"</definedName>
    <definedName name="IQ_REAL_ESTATE_ASSETS" hidden="1">"c1094"</definedName>
    <definedName name="IQ_RECOVERIES_1_4_FAMILY_LOANS_FDIC" hidden="1">"c6707"</definedName>
    <definedName name="IQ_RECOVERIES_AUTO_LOANS_FDIC" hidden="1">"c6701"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DEEM_PREF_STOCK" hidden="1">"c1059"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LATED_PLANS_FDIC" hidden="1">"c6320"</definedName>
    <definedName name="IQ_RENTAL_REV" hidden="1">"c1101"</definedName>
    <definedName name="IQ_RESEARCH_DEV" hidden="1">"c1090"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NET_FDIC" hidden="1">"c6500"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DEPOSITS_FDIC" hidden="1">"c6488"</definedName>
    <definedName name="IQ_RETAINED_EARN" hidden="1">"c1092"</definedName>
    <definedName name="IQ_RETAINED_EARNINGS_AVERAGE_EQUITY_FDIC" hidden="1">"c6733"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DIC" hidden="1">"c6730"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DIC" hidden="1">"c6732"</definedName>
    <definedName name="IQ_RETURN_EQUITY_FS" hidden="1">"c1121"</definedName>
    <definedName name="IQ_RETURN_INVESTMENT" hidden="1">"c1117"</definedName>
    <definedName name="IQ_REV" hidden="1">"c1122"</definedName>
    <definedName name="IQ_REV_BEFORE_LL" hidden="1">"c1123"</definedName>
    <definedName name="IQ_REV_STDDEV_EST" hidden="1">"c1124"</definedName>
    <definedName name="IQ_REV_UTI" hidden="1">"c1125"</definedName>
    <definedName name="IQ_REVALUATION_GAINS_FDIC" hidden="1">"c6428"</definedName>
    <definedName name="IQ_REVALUATION_LOSSES_FDIC" hidden="1">"c6429"</definedName>
    <definedName name="IQ_REVENUE" hidden="1">"c1122"</definedName>
    <definedName name="IQ_REVENUE_10K" hidden="1">"IQ_REVENUE_10K"</definedName>
    <definedName name="IQ_REVENUE_10Q" hidden="1">"IQ_REVENUE_10Q"</definedName>
    <definedName name="IQ_REVENUE_10Q1" hidden="1">"IQ_REVENUE_10Q1"</definedName>
    <definedName name="IQ_REVENUE_EST" hidden="1">"c1126"</definedName>
    <definedName name="IQ_REVENUE_EST_1" hidden="1">"IQ_REVENUE_EST_1"</definedName>
    <definedName name="IQ_REVENUE_GROWTH_1" hidden="1">"IQ_REVENUE_GROWTH_1"</definedName>
    <definedName name="IQ_REVENUE_GROWTH_2" hidden="1">"IQ_REVENUE_GROWTH_2"</definedName>
    <definedName name="IQ_REVENUE_HIGH_EST" hidden="1">"c1127"</definedName>
    <definedName name="IQ_REVENUE_LOW_EST" hidden="1">"c1128"</definedName>
    <definedName name="IQ_REVENUE_NUM_EST" hidden="1">"c1129"</definedName>
    <definedName name="IQ_RISK_WEIGHTED_ASSETS_FDIC" hidden="1">"c6370"</definedName>
    <definedName name="IQ_SALARY" hidden="1">"c1130"</definedName>
    <definedName name="IQ_SALARY_FDIC" hidden="1">"c6576"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ME_STORE" hidden="1">"c1149"</definedName>
    <definedName name="IQ_SAVING_DEP" hidden="1">"c1150"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FARMLAND_CHARGE_OFFS_FDIC" hidden="1">"c6593"</definedName>
    <definedName name="IQ_SECURED_FARMLAND_NET_CHARGE_OFFS_FDIC" hidden="1">"c6631"</definedName>
    <definedName name="IQ_SECURED_FARMLAND_RECOVERIES_FDIC" hidden="1">"c6612"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ISSUED_STATES_FDIC" hidden="1">"c6300"</definedName>
    <definedName name="IQ_SECURITIES_LENT_FDIC" hidden="1">"c6532"</definedName>
    <definedName name="IQ_SECURITIES_UNDERWRITING_FDIC" hidden="1">"c6529"</definedName>
    <definedName name="IQ_SECURITY_BORROW" hidden="1">"c1152"</definedName>
    <definedName name="IQ_SECURITY_OWN" hidden="1">"c1153"</definedName>
    <definedName name="IQ_SECURITY_RESELL" hidden="1">"c1154"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FDIC" hidden="1">"c6572"</definedName>
    <definedName name="IQ_SGA" hidden="1">"c1158"</definedName>
    <definedName name="IQ_SGA_BNK" hidden="1">"c1159"</definedName>
    <definedName name="IQ_SGA_INS" hidden="1">"c1160"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"c83"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"c1197"</definedName>
    <definedName name="IQ_SMALL_INT_BEAR_CD" hidden="1">"c1166"</definedName>
    <definedName name="IQ_SOFTWARE" hidden="1">"c1167"</definedName>
    <definedName name="IQ_SOURCE" hidden="1">"c1168"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UB_DEBT_FDIC" hidden="1">"c6346"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RPLUS_FDIC" hidden="1">"c6351"</definedName>
    <definedName name="IQ_SVA" hidden="1">"c1214"</definedName>
    <definedName name="IQ_TAX_BENEFIT_OPTIONS" hidden="1">"c1215"</definedName>
    <definedName name="IQ_TAX_EQUIV_NET_INT_INC" hidden="1">"c1216"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RISK_BASED_CAPITAL_RATIO_FDIC" hidden="1">"c6746"</definedName>
    <definedName name="IQ_TIER_ONE_FDIC" hidden="1">"c6369"</definedName>
    <definedName name="IQ_TIER_ONE_RATIO" hidden="1">"c1229"</definedName>
    <definedName name="IQ_TIME_DEP" hidden="1">"c1230"</definedName>
    <definedName name="IQ_TIME_DEPOSITS_LESS_THAN_100K_FDIC" hidden="1">"c6465"</definedName>
    <definedName name="IQ_TIME_DEPOSITS_MORE_THAN_100K_FDIC" hidden="1">"c6470"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SSETS_FDIC" hidden="1">"c6339"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"c1266"</definedName>
    <definedName name="IQ_TOTAL_CASH_FINAN" hidden="1">"c119"</definedName>
    <definedName name="IQ_TOTAL_CASH_INVEST" hidden="1">"c121"</definedName>
    <definedName name="IQ_TOTAL_CASH_OPER" hidden="1">"c122"</definedName>
    <definedName name="IQ_TOTAL_CHARGE_OFFS_FDIC" hidden="1">"c6603"</definedName>
    <definedName name="IQ_TOTAL_CL" hidden="1">"c1245"</definedName>
    <definedName name="IQ_TOTAL_COMMON" hidden="1">"c1022"</definedName>
    <definedName name="IQ_TOTAL_COMMON_EQUITY" hidden="1">"c1246"</definedName>
    <definedName name="IQ_TOTAL_CURRENT_ASSETS" hidden="1">"c1243"</definedName>
    <definedName name="IQ_TOTAL_CURRENT_LIAB" hidden="1">"c1245"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"c1249"</definedName>
    <definedName name="IQ_TOTAL_DEBT_OVER_TOTAL_BV" hidden="1">"c1250"</definedName>
    <definedName name="IQ_TOTAL_DEBT_OVER_TOTAL_CAP" hidden="1">"c1248"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POSITS" hidden="1">"c1265"</definedName>
    <definedName name="IQ_TOTAL_DEPOSITS_FDIC" hidden="1">"c6342"</definedName>
    <definedName name="IQ_TOTAL_DIV_PAID_CF" hidden="1">"c1266"</definedName>
    <definedName name="IQ_TOTAL_EMPLOYEE" hidden="1">"c1522"</definedName>
    <definedName name="IQ_TOTAL_EMPLOYEES_FDIC" hidden="1">"c6355"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"c591"</definedName>
    <definedName name="IQ_TOTAL_INVENTORY" hidden="1">"c622"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"c1279"</definedName>
    <definedName name="IQ_TOTAL_LIAB_TOTAL_ASSETS" hidden="1">"c1283"</definedName>
    <definedName name="IQ_TOTAL_LIABILITIES_FDIC" hidden="1">"c6348"</definedName>
    <definedName name="IQ_TOTAL_LONG_DEBT" hidden="1">"c1617"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RECEIV" hidden="1">"c1293"</definedName>
    <definedName name="IQ_TOTAL_RECOVERIES_FDIC" hidden="1">"c6622"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UTI" hidden="1">"c1308"</definedName>
    <definedName name="IQ_TOTAL_REVENUE" hidden="1">"c1294"</definedName>
    <definedName name="IQ_TOTAL_RISK_BASED_CAPITAL_RATIO_FDIC" hidden="1">"c6747"</definedName>
    <definedName name="IQ_TOTAL_SECURITIES_FDIC" hidden="1">"c6306"</definedName>
    <definedName name="IQ_TOTAL_SPECIAL" hidden="1">"c1618"</definedName>
    <definedName name="IQ_TOTAL_ST_BORROW" hidden="1">"c1177"</definedName>
    <definedName name="IQ_TOTAL_TIME_DEPOSITS_FDIC" hidden="1">"c6497"</definedName>
    <definedName name="IQ_TOTAL_TIME_SAVINGS_DEPOSITS_FDIC" hidden="1">"c6498"</definedName>
    <definedName name="IQ_TOTAL_UNUSED_COMMITMENTS_FDIC" hidden="1">"c6536"</definedName>
    <definedName name="IQ_TOTAL_UNUSUAL" hidden="1">"c1508"</definedName>
    <definedName name="IQ_TRADE_AR" hidden="1">"c40"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DIC" hidden="1">"c6328"</definedName>
    <definedName name="IQ_TRADING_LIABILITIES_FDIC" hidden="1">"c6344"</definedName>
    <definedName name="IQ_TRANSACTION_ACCOUNTS_FDIC" hidden="1">"c6544"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"c1311"</definedName>
    <definedName name="IQ_TREASURY_STOCK_TRANSACTIONS_FDIC" hidden="1">"c6501"</definedName>
    <definedName name="IQ_TRUST_INC" hidden="1">"c1319"</definedName>
    <definedName name="IQ_TRUST_PREF" hidden="1">"c1320"</definedName>
    <definedName name="IQ_TWELVE_MONTHS_FIXED_AND_FLOATING_FDIC" hidden="1">"c6420"</definedName>
    <definedName name="IQ_TWELVE_MONTHS_MORTGAGE_PASS_THROUGHS_FDIC" hidden="1">"c6412"</definedName>
    <definedName name="IQ_UNDIVIDED_PROFITS_FDIC" hidden="1">"c6352"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USED_LOAN_COMMITMENTS_FDIC" hidden="1">"c6368"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TREASURY_SECURITIES_FDIC" hidden="1">"c6298"</definedName>
    <definedName name="IQ_UTIL_PPE_NET" hidden="1">"c1620"</definedName>
    <definedName name="IQ_UV_PENSION_LIAB" hidden="1">"c1332"</definedName>
    <definedName name="IQ_VALUATION_ALLOWANCES_FDIC" hidden="1">"c6400"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C_REVENUE_FDIC" hidden="1">"c6667"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WEEK" hidden="1">50000</definedName>
    <definedName name="IQ_WEIGHTED_AVG_PRICE" hidden="1">"c1334"</definedName>
    <definedName name="IQ_WIP_INV" hidden="1">"c1335"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YEARHIGH" hidden="1">"c1337"</definedName>
    <definedName name="IQ_YEARLOW" hidden="1">"c1338"</definedName>
    <definedName name="IQ_YTD" hidden="1">3000</definedName>
    <definedName name="IQ_YTDMONTH" hidden="1">130000</definedName>
    <definedName name="IQ_Z_SCORE" hidden="1">"c1339"</definedName>
    <definedName name="IQRA1" hidden="1">"$A$2:$A$129"</definedName>
    <definedName name="IQRB1" hidden="1">"$B$2:$B$129"</definedName>
    <definedName name="IQRC1" hidden="1">"$C$2:$C$129"</definedName>
    <definedName name="junk" hidden="1">#REF!</definedName>
    <definedName name="junk2" hidden="1">#REF!</definedName>
    <definedName name="lank" hidden="1">#REF!</definedName>
    <definedName name="limcount" hidden="1">1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matrix" hidden="1">{#N/A,#N/A,FALSE,"1Summary";#N/A,#N/A,FALSE,"2Assumptions";#N/A,#N/A,FALSE,"3Cash Flow";#N/A,#N/A,FALSE,"4Return of Investment Chart";#N/A,#N/A,FALSE,"5Year 1 Reconciliation";#N/A,#N/A,FALSE,"6Residual";#N/A,#N/A,FALSE,"7Pricing Matrix";#N/A,#N/A,FALSE,"8Vacancy Matrix";#N/A,#N/A,FALSE,"9Vacancy Chart";#N/A,#N/A,FALSE,"AExpiration Schedule";#N/A,#N/A,FALSE,"BExpiration Chart";#N/A,#N/A,FALSE,"CLease-up Schedule";#N/A,#N/A,FALSE,"DWeighted Average Calculation"}</definedName>
    <definedName name="MCUwork1" hidden="1">{#N/A,#N/A,TRUE,"Summary";#N/A,#N/A,TRUE,"Program Scheme";#N/A,#N/A,TRUE,"Assumptions";#N/A,#N/A,TRUE,"Development Budget &amp; Timing";#N/A,#N/A,TRUE,"Cash Flow";#N/A,#N/A,TRUE,"Cash Flow to Debt &amp; Equity"}</definedName>
    <definedName name="MILF1" hidden="1">{"Annual Deal CF 1",#N/A,TRUE,"Investments";"Annual Deal CF 2",#N/A,TRUE,"Investments";"Annual Deal CF 3",#N/A,TRUE,"Investments";"Annual Deal CF 4",#N/A,TRUE,"Investments";"Annual Deal CF 5",#N/A,TRUE,"Investments";"Annual Deal CF 6",#N/A,TRUE,"Investments";"Annual Deal CF 7",#N/A,TRUE,"Investments"}</definedName>
    <definedName name="MILF1_1" hidden="1">{"Annual Deal CF 1",#N/A,TRUE,"Investments";"Annual Deal CF 2",#N/A,TRUE,"Investments";"Annual Deal CF 3",#N/A,TRUE,"Investments";"Annual Deal CF 4",#N/A,TRUE,"Investments";"Annual Deal CF 5",#N/A,TRUE,"Investments";"Annual Deal CF 6",#N/A,TRUE,"Investments";"Annual Deal CF 7",#N/A,TRUE,"Investments"}</definedName>
    <definedName name="MILF1_2" hidden="1">{"Annual Deal CF 1",#N/A,TRUE,"Investments";"Annual Deal CF 2",#N/A,TRUE,"Investments";"Annual Deal CF 3",#N/A,TRUE,"Investments";"Annual Deal CF 4",#N/A,TRUE,"Investments";"Annual Deal CF 5",#N/A,TRUE,"Investments";"Annual Deal CF 6",#N/A,TRUE,"Investments";"Annual Deal CF 7",#N/A,TRUE,"Investments"}</definedName>
    <definedName name="MILF1_3" hidden="1">{"Annual Deal CF 1",#N/A,TRUE,"Investments";"Annual Deal CF 2",#N/A,TRUE,"Investments";"Annual Deal CF 3",#N/A,TRUE,"Investments";"Annual Deal CF 4",#N/A,TRUE,"Investments";"Annual Deal CF 5",#N/A,TRUE,"Investments";"Annual Deal CF 6",#N/A,TRUE,"Investments";"Annual Deal CF 7",#N/A,TRUE,"Investments"}</definedName>
    <definedName name="Name1" hidden="1">{"cot1",#N/A,FALSE,"Cottages";"cot2",#N/A,FALSE,"Cottages";"cot3",#N/A,FALSE,"Cottages"}</definedName>
    <definedName name="nbmvcmnb" hidden="1">{#N/A,#N/A,TRUE,"10 Yr Hold";#N/A,#N/A,TRUE,"7 Yr Hold";#N/A,#N/A,TRUE,"5 Yr Hold";#N/A,#N/A,TRUE,"3 Yr Hold"}</definedName>
    <definedName name="newrange" hidden="1">{"Annual Cash Flows",#N/A,FALSE,"Annual Summary"}</definedName>
    <definedName name="okay" hidden="1">{#N/A,#N/A,FALSE,"INPUTS";#N/A,#N/A,FALSE,"PROFORMA BSHEET";#N/A,#N/A,FALSE,"COMBINED";#N/A,#N/A,FALSE,"HIGH YIELD";#N/A,#N/A,FALSE,"COMB_GRAPHS"}</definedName>
    <definedName name="Print" hidden="1">{#N/A,#N/A,TRUE,"Cover";#N/A,#N/A,TRUE,"Stack";#N/A,#N/A,TRUE,"Cost S";#N/A,#N/A,TRUE,"Financing";#N/A,#N/A,TRUE," CF";#N/A,#N/A,TRUE,"CF Mnthly";#N/A,#N/A,TRUE,"CF assum";#N/A,#N/A,TRUE,"Unit Sales";#N/A,#N/A,TRUE,"REV";#N/A,#N/A,TRUE,"Bdgt Backup"}</definedName>
    <definedName name="Print2" hidden="1">{#N/A,#N/A,FALSE,"Cover";#N/A,#N/A,FALSE,"Stack";#N/A,#N/A,FALSE,"Cost S";#N/A,#N/A,FALSE," CF";#N/A,#N/A,FALSE,"Investor"}</definedName>
    <definedName name="promte" hidden="1">{"Assumptions",#N/A,FALSE,"Assumptions"}</definedName>
    <definedName name="redo" hidden="1">{#N/A,#N/A,FALSE,"ACQ_GRAPHS";#N/A,#N/A,FALSE,"T_1 GRAPHS";#N/A,#N/A,FALSE,"T_2 GRAPHS";#N/A,#N/A,FALSE,"COMB_GRAPHS"}</definedName>
    <definedName name="Residu" hidden="1">{#N/A,#N/A,TRUE,"Summary";"AnnualRentRoll",#N/A,TRUE,"RentRoll";#N/A,#N/A,TRUE,"ExitStratigy";#N/A,#N/A,TRUE,"OperatingAssumptions"}</definedName>
    <definedName name="RPA" hidden="1">{#N/A,#N/A,FALSE,"Cashflow Analysis";#N/A,#N/A,FALSE,"Sensitivity Analysis";#N/A,#N/A,FALSE,"PV";#N/A,#N/A,FALSE,"Pro Forma"}</definedName>
    <definedName name="RPA.2" hidden="1">{#N/A,#N/A,FALSE,"Cashflow Analysis";#N/A,#N/A,FALSE,"Sensitivity Analysis";#N/A,#N/A,FALSE,"PV";#N/A,#N/A,FALSE,"Pro Forma"}</definedName>
    <definedName name="saa" hidden="1">{"rtn",#N/A,FALSE,"RTN";"tables",#N/A,FALSE,"RTN";"cf",#N/A,FALSE,"CF";"stats",#N/A,FALSE,"Stats";"prop",#N/A,FALSE,"Prop"}</definedName>
    <definedName name="sadd" hidden="1">{"MonthlyRentRoll",#N/A,FALSE,"RentRoll"}</definedName>
    <definedName name="sadd1" hidden="1">{"MonthlyRentRoll",#N/A,FALSE,"RentRoll"}</definedName>
    <definedName name="sadd2" hidden="1">{"MonthlyRentRoll",#N/A,FALSE,"RentRoll"}</definedName>
    <definedName name="saddd" hidden="1">{"AnnualRentRoll",#N/A,FALSE,"RentRoll"}</definedName>
    <definedName name="saddd2" hidden="1">{"AnnualRentRoll",#N/A,FALSE,"RentRoll"}</definedName>
    <definedName name="sadddd2" hidden="1">{"AnnualRentRoll",#N/A,FALSE,"RentRoll"}</definedName>
    <definedName name="saddddd" hidden="1">{"AnnualRentRoll",#N/A,FALSE,"RentRoll"}</definedName>
    <definedName name="saddddddd2" hidden="1">{#N/A,#N/A,FALSE,"ExitStratigy"}</definedName>
    <definedName name="sadddddddd" hidden="1">{#N/A,#N/A,FALSE,"ExitStratigy"}</definedName>
    <definedName name="saddddddddd2" hidden="1">{#N/A,#N/A,FALSE,"LoanAssumptions"}</definedName>
    <definedName name="sadddddddddd" hidden="1">{#N/A,#N/A,FALSE,"LoanAssumptions"}</definedName>
    <definedName name="saddddddddddd2" hidden="1">{#N/A,#N/A,FALSE,"OperatingAssumptions"}</definedName>
    <definedName name="saddddddddddddd" hidden="1">{#N/A,#N/A,FALSE,"OperatingAssumptions"}</definedName>
    <definedName name="saf" hidden="1">{"cover",#N/A,TRUE,"Cover";"toc10",#N/A,TRUE,"TOC";"over",#N/A,TRUE,"Overview";"over",#N/A,TRUE,"Det_Trans_Sum";"ei1c",#N/A,TRUE,"Earnings Impact";"ad1",#N/A,TRUE,"accretion dilution";"hg1",#N/A,TRUE,"Has-Gets";"pfis1",#N/A,TRUE,"Pro Forma Income Statement";"ca1",#N/A,TRUE,"Contribution_Analysis";"profba",#N/A,TRUE,"Pro Forma Balance Sheet";"acq1c",#N/A,TRUE,"Acquirer";"tar1c",#N/A,TRUE,"Target"}</definedName>
    <definedName name="sas" hidden="1">{"Outflow 1",#N/A,FALSE,"Outflows-Inflows";"Outflow 2",#N/A,FALSE,"Outflows-Inflows";"Inflow 1",#N/A,FALSE,"Outflows-Inflows";"Inflow 2",#N/A,FALSE,"Outflows-Inflows"}</definedName>
    <definedName name="sdf" hidden="1">{#N/A,#N/A,TRUE,"10 Yr Hold";#N/A,#N/A,TRUE,"7 Yr Hold";#N/A,#N/A,TRUE,"5 Yr Hold";#N/A,#N/A,TRUE,"3 Yr Hold"}</definedName>
    <definedName name="sdfass" hidden="1">{"Outflow 1",#N/A,FALSE,"Outflows-Inflows";"Outflow 2",#N/A,FALSE,"Outflows-Inflows";"Inflow 1",#N/A,FALSE,"Outflows-Inflows";"Inflow 2",#N/A,FALSE,"Outflows-Inflows"}</definedName>
    <definedName name="sencount" hidden="1">2</definedName>
    <definedName name="SPM" hidden="1">{#N/A,#N/A,FALSE,"Cashflow Analysis";#N/A,#N/A,FALSE,"Sensitivity Analysis";#N/A,#N/A,FALSE,"PV";#N/A,#N/A,FALSE,"Pro Forma"}</definedName>
    <definedName name="SPM.2" hidden="1">{#N/A,#N/A,FALSE,"Cashflow Analysis";#N/A,#N/A,FALSE,"Sensitivity Analysis";#N/A,#N/A,FALSE,"PV";#N/A,#N/A,FALSE,"Pro Forma"}</definedName>
    <definedName name="test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tina" hidden="1">{"cover",#N/A,TRUE,"Cover";"toc3",#N/A,TRUE,"TOC";"over",#N/A,TRUE,"Overview";"ts2",#N/A,TRUE,"Det_Trans_Sum";"ei1c",#N/A,TRUE,"Earnings Impact";"ad1",#N/A,TRUE,"accretion dilution";"pfis1",#N/A,TRUE,"Pro Forma Income Statement";"acq1c",#N/A,TRUE,"Acquirer";"tar1c",#N/A,TRUE,"Target"}</definedName>
    <definedName name="trial" hidden="1">{"Outflow 1",#N/A,FALSE,"Outflows-Inflows";"Outflow 2",#N/A,FALSE,"Outflows-Inflows";"Inflow 1",#N/A,FALSE,"Outflows-Inflows";"Inflow 2",#N/A,FALSE,"Outflows-Inflows"}</definedName>
    <definedName name="ttt" hidden="1">{"Outflow 1",#N/A,FALSE,"Outflows-Inflows";"Outflow 2",#N/A,FALSE,"Outflows-Inflows";"Inflow 1",#N/A,FALSE,"Outflows-Inflows";"Inflow 2",#N/A,FALSE,"Outflows-Inflows"}</definedName>
    <definedName name="Vail" hidden="1">{"PVGraph2",#N/A,FALSE,"PV Data"}</definedName>
    <definedName name="Value" hidden="1">{#N/A,#N/A,FALSE,"Cashflow Analysis";#N/A,#N/A,FALSE,"Sensitivity Analysis";#N/A,#N/A,FALSE,"PV";#N/A,#N/A,FALSE,"Pro Forma"}</definedName>
    <definedName name="Value.2" hidden="1">{#N/A,#N/A,FALSE,"Cashflow Analysis";#N/A,#N/A,FALSE,"Sensitivity Analysis";#N/A,#N/A,FALSE,"PV";#N/A,#N/A,FALSE,"Pro Forma"}</definedName>
    <definedName name="value1" hidden="1">{#N/A,#N/A,FALSE,"Cashflow Analysis";#N/A,#N/A,FALSE,"Sensitivity Analysis";#N/A,#N/A,FALSE,"PV";#N/A,#N/A,FALSE,"Pro Forma"}</definedName>
    <definedName name="value1.2" hidden="1">{#N/A,#N/A,FALSE,"Cashflow Analysis";#N/A,#N/A,FALSE,"Sensitivity Analysis";#N/A,#N/A,FALSE,"PV";#N/A,#N/A,FALSE,"Pro Forma"}</definedName>
    <definedName name="vvvv" hidden="1">{#N/A,#N/A,FALSE,"Cashflow Analysis";#N/A,#N/A,FALSE,"Sensitivity Analysis";#N/A,#N/A,FALSE,"PV";#N/A,#N/A,FALSE,"Pro Forma"}</definedName>
    <definedName name="VVVV.2" hidden="1">{#N/A,#N/A,FALSE,"Cashflow Analysis";#N/A,#N/A,FALSE,"Sensitivity Analysis";#N/A,#N/A,FALSE,"PV";#N/A,#N/A,FALSE,"Pro Forma"}</definedName>
    <definedName name="wer" hidden="1">{"cover",#N/A,TRUE,"Cover";"toc6",#N/A,TRUE,"TOC";"pfis3",#N/A,TRUE,"Overview";"ts2",#N/A,TRUE,"Det_Trans_Sum";"ei2c",#N/A,TRUE,"Earnings Impact";"ad2",#N/A,TRUE,"accretion dilution";"hg2",#N/A,TRUE,"Has-Gets";"pfis2",#N/A,TRUE,"Pro Forma Income Statement";"ca2",#N/A,TRUE,"Contribution_Analysis";"acq2c",#N/A,TRUE,"Acquirer";"tar2c",#N/A,TRUE,"Target"}</definedName>
    <definedName name="wererwer" hidden="1">{"cover",#N/A,TRUE,"Cover";"toc5",#N/A,TRUE,"TOC";"over",#N/A,TRUE,"Overview";"ts2",#N/A,TRUE,"Det_Trans_Sum";"ei",#N/A,TRUE,"Earnings Impact";"ad",#N/A,TRUE,"accretion dilution";"pfis",#N/A,TRUE,"Pro Forma Income Statement";"ca",#N/A,TRUE,"Contribution_Analysis";"acq",#N/A,TRUE,"Acquirer";"tar",#N/A,TRUE,"Target"}</definedName>
    <definedName name="wern" hidden="1">{"cover",#N/A,TRUE,"Cover";"toc6",#N/A,TRUE,"TOC";"over",#N/A,TRUE,"Overview";"ts2",#N/A,TRUE,"Det_Trans_Sum";"ei2",#N/A,TRUE,"Earnings Impact";"ad2",#N/A,TRUE,"accretion dilution";"hg2",#N/A,TRUE,"Has-Gets";"pfis2",#N/A,TRUE,"Pro Forma Income Statement";"ca2",#N/A,TRUE,"Contribution_Analysis";"acq2",#N/A,TRUE,"Acquirer";"tar2",#N/A,TRUE,"Target"}</definedName>
    <definedName name="what_asdf2" hidden="1">{#N/A,#N/A,FALSE,"OperatingAssumptions"}</definedName>
    <definedName name="wrn.1." hidden="1">{"cover",#N/A,TRUE,"Cover";"toc1",#N/A,TRUE,"TOC";"ts1",#N/A,TRUE,"Transaction Summary";"ei",#N/A,TRUE,"Earnings Impact";"ad",#N/A,TRUE,"accretion dilution"}</definedName>
    <definedName name="wrn.10." hidden="1">{"cover",#N/A,TRUE,"Cover";"toc3",#N/A,TRUE,"TOC";"over",#N/A,TRUE,"Overview";"ts2",#N/A,TRUE,"Det_Trans_Sum";"ei1c",#N/A,TRUE,"Earnings Impact";"ad1",#N/A,TRUE,"accretion dilution";"pfis1",#N/A,TRUE,"Pro Forma Income Statement";"acq1c",#N/A,TRUE,"Acquirer";"tar1c",#N/A,TRUE,"Target"}</definedName>
    <definedName name="wrn.105" hidden="1">{"cover",#N/A,TRUE,"Cover";"toc9",#N/A,TRUE,"TOC";"over",#N/A,TRUE,"Overview";"ts2",#N/A,TRUE,"Det_Trans_Sum";"ei",#N/A,TRUE,"Earnings Impact";"ad1",#N/A,TRUE,"accretion dilution";"pfis",#N/A,TRUE,"Pro Forma Income Statement";"ca",#N/A,TRUE,"Contribution_Analysis";"profba",#N/A,TRUE,"Pro Forma Balance Sheet";"acq",#N/A,TRUE,"Acquirer";"tar",#N/A,TRUE,"Target"}</definedName>
    <definedName name="wrn.11." hidden="1">{"cover",#N/A,TRUE,"Cover";"toc3",#N/A,TRUE,"TOC";"over",#N/A,TRUE,"Overview";"ts2",#N/A,TRUE,"Det_Trans_Sum";"ei2c",#N/A,TRUE,"Earnings Impact";"ad2",#N/A,TRUE,"accretion dilution";"pfis2",#N/A,TRUE,"Pro Forma Income Statement";"acq2c",#N/A,TRUE,"Acquirer";"tar2c",#N/A,TRUE,"Target"}</definedName>
    <definedName name="wrn.12." hidden="1">{"cover",#N/A,TRUE,"Cover";"toc3",#N/A,TRUE,"TOC";"over",#N/A,TRUE,"Overview";"ts2",#N/A,TRUE,"Det_Trans_Sum";"ei3c",#N/A,TRUE,"Earnings Impact";"ad3",#N/A,TRUE,"accretion dilution";"pfis3",#N/A,TRUE,"Pro Forma Income Statement";"acq3c",#N/A,TRUE,"Acquirer";"tar3c",#N/A,TRUE,"Target"}</definedName>
    <definedName name="wrn.13." hidden="1">{"cover",#N/A,TRUE,"Cover";"toc4",#N/A,TRUE,"TOC";"over",#N/A,TRUE,"Overview";"ts2",#N/A,TRUE,"Det_Trans_Sum";"eic",#N/A,TRUE,"Earnings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Statement";"ca",#N/A,TRUE,"Contribution_Analysis";"acqc",#N/A,TRUE,"Acquirer";"tarc",#N/A,TRUE,"Target"}</definedName>
    <definedName name="wrn.14." hidden="1">{"cover",#N/A,TRUE,"Cover";"toc4",#N/A,TRUE,"TOC";"over",#N/A,TRUE,"Overview";"ts2",#N/A,TRUE,"Det_Trans_Sum";"ei1c",#N/A,TRUE,"Earnings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Statement";"ca1",#N/A,TRUE,"Contribution_Analysis";"acq1c",#N/A,TRUE,"Acquirer";"tar1c",#N/A,TRUE,"Target"}</definedName>
    <definedName name="wrn.15." hidden="1">{"cover",#N/A,TRUE,"Cover";"toc4",#N/A,TRUE,"TOC";"over",#N/A,TRUE,"Overview";"ts2",#N/A,TRUE,"Det_Trans_Sum";"ei2c",#N/A,TRUE,"Earnings Impact";"ad2",#N/A,TRUE,"accretion dilution";"tas",#N/A,TRUE,"TaintedShares";"hg2",#N/A,TRUE,"Has-Gets";"pfis2",#N/A,TRUE,"Pro Forma Income Statement";"ca2",#N/A,TRUE,"Contribution_Analysis";"acq2c",#N/A,TRUE,"Acquirer";"tar2c",#N/A,TRUE,"Target"}</definedName>
    <definedName name="wrn.16." hidden="1">{"cover",#N/A,TRUE,"Cover";"toc4",#N/A,TRUE,"TOC";"over",#N/A,TRUE,"Overview";"ts2",#N/A,TRUE,"Det_Trans_Sum";"ei3c",#N/A,TRUE,"Earnings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Statement";"ca3",#N/A,TRUE,"Contribution_Analysis";"acq3c",#N/A,TRUE,"Acquirer";"tar3c",#N/A,TRUE,"Target"}</definedName>
    <definedName name="wrn.17." hidden="1">{"cover",#N/A,TRUE,"Cover";"toc5",#N/A,TRUE,"TOC";"over",#N/A,TRUE,"Overview";"ts2",#N/A,TRUE,"Det_Trans_Sum";"eic",#N/A,TRUE,"Earnings Impact";"ad",#N/A,TRUE,"accretion dilution";"pfis",#N/A,TRUE,"Pro Forma Income Statement";"ca",#N/A,TRUE,"Contribution_Analysis";"acqc",#N/A,TRUE,"Acquirer";"tarc",#N/A,TRUE,"Target"}</definedName>
    <definedName name="wrn.18." hidden="1">{"cover",#N/A,TRUE,"Cover";"toc5",#N/A,TRUE,"TOC";"over",#N/A,TRUE,"Overview";"ts2",#N/A,TRUE,"Det_Trans_Sum";"ei1c",#N/A,TRUE,"Earnings Impact";"ad1",#N/A,TRUE,"accretion dilution";"pfis1",#N/A,TRUE,"Pro Forma Income Statement";"ca1",#N/A,TRUE,"Contribution_Analysis";"acq1c",#N/A,TRUE,"Acquirer";"tar1c",#N/A,TRUE,"Target"}</definedName>
    <definedName name="wrn.19." hidden="1">{"cover",#N/A,TRUE,"Cover";"toc5",#N/A,TRUE,"TOC";"ts2",#N/A,TRUE,"Det_Trans_Sum";"over",#N/A,TRUE,"Overview";"ei2c",#N/A,TRUE,"Earnings Impact";"ad2",#N/A,TRUE,"accretion dilution";"pfis2",#N/A,TRUE,"Pro Forma Income Statement";"ca2",#N/A,TRUE,"Contribution_Analysis";"acq2c",#N/A,TRUE,"Acquirer";"tar2c",#N/A,TRUE,"Target"}</definedName>
    <definedName name="wrn.2" hidden="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wrn.2." hidden="1">{"cover",#N/A,TRUE,"Cover";"toc1",#N/A,TRUE,"TOC";"ts1",#N/A,TRUE,"Transaction Summary";"ei1",#N/A,TRUE,"Earnings Impact";"ad1",#N/A,TRUE,"accretion dilution"}</definedName>
    <definedName name="wrn.2._.pagers." hidden="1">{"Cover",#N/A,FALSE,"Cover";"Summary",#N/A,FALSE,"Summarpage"}</definedName>
    <definedName name="wrn.20." hidden="1">{"cover",#N/A,TRUE,"Cover";"toc5",#N/A,TRUE,"TOC";"over",#N/A,TRUE,"Overview";"ts2",#N/A,TRUE,"Det_Trans_Sum";"ei3c",#N/A,TRUE,"Earnings Impact";"ad3",#N/A,TRUE,"accretion dilution";"pfis3",#N/A,TRUE,"Pro Forma Income Statement";"ca3",#N/A,TRUE,"Contribution_Analysis";"acq3c",#N/A,TRUE,"Acquirer";"tar3c",#N/A,TRUE,"Target"}</definedName>
    <definedName name="wrn.20._.year._.alt" hidden="1">{"proj",#N/A,TRUE,"Proj";"landschflow 20",#N/A,TRUE,"LandCshFlw";"allcshflw 20",#N/A,TRUE,"AllCshFlw";"net unit 20",#N/A,TRUE,"NetUnit";"cum net 20",#N/A,TRUE,"CumNet";"net unit 20",#N/A,TRUE,"NetRes";"gross 20",#N/A,TRUE,"Gross";"infracost",#N/A,TRUE,"InfraCost";"bldg cost 20",#N/A,TRUE,"BldgCost";"parking 20",#N/A,TRUE,"Parking";"open sp 20",#N/A,TRUE,"OpenSp";"interim 20",#N/A,TRUE,"Interim";"landsale 20",#N/A,TRUE,"LandSale";"noi 20",#N/A,TRUE,"NOI";"bldg sale 20",#N/A,TRUE,"BldgSale";"aff hsg",#N/A,TRUE,"AffHsg";"taxinc 20",#N/A,TRUE,"TaxInc"}</definedName>
    <definedName name="wrn.20._.year._.full." hidden="1">{"proj",#N/A,TRUE,"Proj";"landschflow 20",#N/A,TRUE,"LandCshFlw";"allcshflw 20",#N/A,TRUE,"AllCshFlw";"net unit 20",#N/A,TRUE,"NetUnit";"cum net 20",#N/A,TRUE,"CumNet";"net unit 20",#N/A,TRUE,"NetRes";"gross 20",#N/A,TRUE,"Gross";"infracost",#N/A,TRUE,"InfraCost";"bldg cost 20",#N/A,TRUE,"BldgCost";"parking 20",#N/A,TRUE,"Parking";"open sp 20",#N/A,TRUE,"OpenSp";"interim 20",#N/A,TRUE,"Interim";"landsale 20",#N/A,TRUE,"LandSale";"noi 20",#N/A,TRUE,"NOI";"bldg sale 20",#N/A,TRUE,"BldgSale";"aff hsg",#N/A,TRUE,"AffHsg";"taxinc 20",#N/A,TRUE,"TaxInc"}</definedName>
    <definedName name="wrn.2013." hidden="1">{"PG4",#N/A,FALSE,"Page4";"PG3",#N/A,FALSE,"Page 3";"PG2",#N/A,FALSE,"Page 2";"PG1",#N/A,FALSE,"2013HUD, pg1"}</definedName>
    <definedName name="wrn.2013._.All." hidden="1">{"Page4",#N/A,FALSE,"Page4";"Page3",#N/A,FALSE,"Page 3";"Page2",#N/A,FALSE,"Page 2";"Page1",#N/A,FALSE,"2013HUD, pg1"}</definedName>
    <definedName name="wrn.2013._.Report." hidden="1">{#N/A,#N/A,FALSE,"2013HUD, pg1";#N/A,#N/A,FALSE,"Page 2";#N/A,#N/A,FALSE,"Page 3";#N/A,#N/A,FALSE,"Page4"}</definedName>
    <definedName name="wrn.21." hidden="1">{"cover",#N/A,TRUE,"Cover";"toc6",#N/A,TRUE,"TOC";"over",#N/A,TRUE,"Overview";"ts2",#N/A,TRUE,"Det_Trans_Sum";"eic",#N/A,TRUE,"Earnings Impact";"ad",#N/A,TRUE,"accretion dilution";"hg",#N/A,TRUE,"Has-Gets";"pfis",#N/A,TRUE,"Pro Forma Income Statement";"ca",#N/A,TRUE,"Contribution_Analysis";"acqc",#N/A,TRUE,"Acquirer";"tarc",#N/A,TRUE,"Target"}</definedName>
    <definedName name="wrn.22." hidden="1">{"cover",#N/A,TRUE,"Cover";"toc6",#N/A,TRUE,"TOC";"over",#N/A,TRUE,"Overview";"ts2",#N/A,TRUE,"Det_Trans_Sum";"ei1c",#N/A,TRUE,"Earnings Impact";"ad1",#N/A,TRUE,"accretion dilution";"hg1",#N/A,TRUE,"Has-Gets";"pfis1",#N/A,TRUE,"Pro Forma Income Statement";"ca1",#N/A,TRUE,"Contribution_Analysis";"acq1c",#N/A,TRUE,"Acquirer";"tar1c",#N/A,TRUE,"Target"}</definedName>
    <definedName name="wrn.23." hidden="1">{"cover",#N/A,TRUE,"Cover";"toc6",#N/A,TRUE,"TOC";"pfis3",#N/A,TRUE,"Overview";"ts2",#N/A,TRUE,"Det_Trans_Sum";"ei2c",#N/A,TRUE,"Earnings Impact";"ad2",#N/A,TRUE,"accretion dilution";"hg2",#N/A,TRUE,"Has-Gets";"pfis2",#N/A,TRUE,"Pro Forma Income Statement";"ca2",#N/A,TRUE,"Contribution_Analysis";"acq2c",#N/A,TRUE,"Acquirer";"tar2c",#N/A,TRUE,"Target"}</definedName>
    <definedName name="wrn.24." hidden="1">{"cover",#N/A,TRUE,"Cover";"toc6",#N/A,TRUE,"TOC";"over",#N/A,TRUE,"Overview";"ts2",#N/A,TRUE,"Det_Trans_Sum";"ei3c",#N/A,TRUE,"Earnings Impact";"ad3",#N/A,TRUE,"accretion dilution";"hg3",#N/A,TRUE,"Has-Gets";"pfis",#N/A,TRUE,"Pro Forma Income Statement";"ca3",#N/A,TRUE,"Contribution_Analysis";"acq3c",#N/A,TRUE,"Acquirer";"tar3c",#N/A,TRUE,"Target"}</definedName>
    <definedName name="wrn.25." hidden="1">{"cover",#N/A,TRUE,"Cover";"toc3",#N/A,TRUE,"TOC";"over",#N/A,TRUE,"Overview";"ts2",#N/A,TRUE,"Det_Trans_Sum";"ei",#N/A,TRUE,"Earnings Impact";"ad",#N/A,TRUE,"accretion dilution";"pfis",#N/A,TRUE,"Pro Forma Income Statement";"acq",#N/A,TRUE,"Acquirer";"tar",#N/A,TRUE,"Target"}</definedName>
    <definedName name="wrn.26." hidden="1">{"cover",#N/A,TRUE,"Cover";"toc3",#N/A,TRUE,"TOC";"over",#N/A,TRUE,"Overview";"ts2",#N/A,TRUE,"Det_Trans_Sum";"ei1",#N/A,TRUE,"Earnings Impact";"ad1",#N/A,TRUE,"accretion dilution";"pfis1",#N/A,TRUE,"Pro Forma Income Statement";"acq1",#N/A,TRUE,"Acquirer";"tar1",#N/A,TRUE,"Target"}</definedName>
    <definedName name="wrn.27." hidden="1">{"cover",#N/A,TRUE,"Cover";"toc3",#N/A,TRUE,"TOC";"over",#N/A,TRUE,"Overview";"ts2",#N/A,TRUE,"Det_Trans_Sum";"ei2",#N/A,TRUE,"Earnings Impact";"ad2",#N/A,TRUE,"accretion dilution";"pfis2",#N/A,TRUE,"Pro Forma Income Statement";"acq2",#N/A,TRUE,"Acquirer";"tar2",#N/A,TRUE,"Target"}</definedName>
    <definedName name="wrn.28." hidden="1">{"cover",#N/A,TRUE,"Cover";"toc3",#N/A,TRUE,"TOC";"over",#N/A,TRUE,"Overview";"ts2",#N/A,TRUE,"Det_Trans_Sum";"ei3",#N/A,TRUE,"Earnings Impact";"ad3",#N/A,TRUE,"accretion dilution";"pfis3",#N/A,TRUE,"Pro Forma Income Statement";"acq3",#N/A,TRUE,"Acquirer";"tar3",#N/A,TRUE,"Target"}</definedName>
    <definedName name="wrn.29." hidden="1">{"cover",#N/A,TRUE,"Cover";"toc4",#N/A,TRUE,"TOC";"over",#N/A,TRUE,"Overview";"ts2",#N/A,TRUE,"Det_Trans_Sum";"ei",#N/A,TRUE,"Earnings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Statement";"ca",#N/A,TRUE,"Contribution_Analysis";"acq",#N/A,TRUE,"Acquirer";"tar",#N/A,TRUE,"Target"}</definedName>
    <definedName name="wrn.3." hidden="1">{"cover",#N/A,TRUE,"Cover";"toc1",#N/A,TRUE,"TOC";"ts1",#N/A,TRUE,"Transaction Summary";"ei2",#N/A,TRUE,"Earnings Impact";"ad2",#N/A,TRUE,"accretion dilution"}</definedName>
    <definedName name="wrn.30." hidden="1">{"cover",#N/A,TRUE,"Cover";"toc4",#N/A,TRUE,"TOC";"over",#N/A,TRUE,"Overview";"ts2",#N/A,TRUE,"Det_Trans_Sum";"ei1",#N/A,TRUE,"Earnings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Statement";"ca1",#N/A,TRUE,"Contribution_Analysis";"acq1",#N/A,TRUE,"Acquirer";"tar1",#N/A,TRUE,"Target"}</definedName>
    <definedName name="wrn.31." hidden="1">{"cover",#N/A,TRUE,"Cover";"toc4",#N/A,TRUE,"TOC";"over",#N/A,TRUE,"Overview";"ts2",#N/A,TRUE,"Det_Trans_Sum";"ei2",#N/A,TRUE,"Earnings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Statement";"ca2",#N/A,TRUE,"Contribution_Analysis";"acq2",#N/A,TRUE,"Acquirer";"tar2",#N/A,TRUE,"Target"}</definedName>
    <definedName name="wrn.32." hidden="1">{"cover",#N/A,TRUE,"Cover";"toc4",#N/A,TRUE,"TOC";"over",#N/A,TRUE,"Overview";"ts2",#N/A,TRUE,"Det_Trans_Sum";"ei3",#N/A,TRUE,"Earnings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Statement";"ca3",#N/A,TRUE,"Contribution_Analysis";"acq3",#N/A,TRUE,"Acquirer";"tar3",#N/A,TRUE,"Target"}</definedName>
    <definedName name="wrn.33." hidden="1">{"cover",#N/A,TRUE,"Cover";"toc5",#N/A,TRUE,"TOC";"over",#N/A,TRUE,"Overview";"ts2",#N/A,TRUE,"Det_Trans_Sum";"ei",#N/A,TRUE,"Earnings Impact";"ad",#N/A,TRUE,"accretion dilution";"pfis",#N/A,TRUE,"Pro Forma Income Statement";"ca",#N/A,TRUE,"Contribution_Analysis";"acq",#N/A,TRUE,"Acquirer";"tar",#N/A,TRUE,"Target"}</definedName>
    <definedName name="wrn.34." hidden="1">{"cover",#N/A,TRUE,"Cover";"toc5",#N/A,TRUE,"TOC";"over",#N/A,TRUE,"Overview";"ts2",#N/A,TRUE,"Det_Trans_Sum";"ei1",#N/A,TRUE,"Earnings Impact";"ad1",#N/A,TRUE,"accretion dilution";"pfis1",#N/A,TRUE,"Pro Forma Income Statement";"ca1",#N/A,TRUE,"Contribution_Analysis";"acq1",#N/A,TRUE,"Acquirer";"tar1",#N/A,TRUE,"Target"}</definedName>
    <definedName name="wrn.35." hidden="1">{"cover",#N/A,TRUE,"Cover";"toc5",#N/A,TRUE,"TOC";"over",#N/A,TRUE,"Overview";"ts2",#N/A,TRUE,"Det_Trans_Sum";"ei2",#N/A,TRUE,"Earnings Impact";"ad2",#N/A,TRUE,"accretion dilution";"pfis2",#N/A,TRUE,"Pro Forma Income Statement";"ca2",#N/A,TRUE,"Contribution_Analysis";"acq2",#N/A,TRUE,"Acquirer";"tar2",#N/A,TRUE,"Target"}</definedName>
    <definedName name="wrn.36." hidden="1">{"cover",#N/A,TRUE,"Cover";"toc5",#N/A,TRUE,"TOC";"over",#N/A,TRUE,"Overview";"ts2",#N/A,TRUE,"Det_Trans_Sum";"ei3",#N/A,TRUE,"Earnings Impact";"ad3",#N/A,TRUE,"accretion dilution";"pfis3",#N/A,TRUE,"Pro Forma Income Statement";"ca3",#N/A,TRUE,"Contribution_Analysis";"acq3",#N/A,TRUE,"Acquirer";"tar3",#N/A,TRUE,"Target"}</definedName>
    <definedName name="wrn.37." hidden="1">{"cover",#N/A,TRUE,"Cover";"toc6",#N/A,TRUE,"TOC";"over",#N/A,TRUE,"Overview";"ts2",#N/A,TRUE,"Det_Trans_Sum";"ei",#N/A,TRUE,"Earnings Impact";"ad",#N/A,TRUE,"accretion dilution";"hg",#N/A,TRUE,"Has-Gets";"pfis",#N/A,TRUE,"Pro Forma Income Statement";"ca",#N/A,TRUE,"Contribution_Analysis";"acq",#N/A,TRUE,"Acquirer";"tar",#N/A,TRUE,"Target"}</definedName>
    <definedName name="wrn.38." hidden="1">{"cover",#N/A,TRUE,"Cover";"toc6",#N/A,TRUE,"TOC";"over",#N/A,TRUE,"Overview";"ts2",#N/A,TRUE,"Det_Trans_Sum";"ei1",#N/A,TRUE,"Earnings Impact";"ad1",#N/A,TRUE,"accretion dilution";"hg1",#N/A,TRUE,"Has-Gets";"pfis1",#N/A,TRUE,"Pro Forma Income Statement";"ca1",#N/A,TRUE,"Contribution_Analysis";"acq1",#N/A,TRUE,"Acquirer";"tar1",#N/A,TRUE,"Target"}</definedName>
    <definedName name="wrn.39." hidden="1">{"cover",#N/A,TRUE,"Cover";"toc6",#N/A,TRUE,"TOC";"over",#N/A,TRUE,"Overview";"ts2",#N/A,TRUE,"Det_Trans_Sum";"ei2",#N/A,TRUE,"Earnings Impact";"ad2",#N/A,TRUE,"accretion dilution";"hg2",#N/A,TRUE,"Has-Gets";"pfis2",#N/A,TRUE,"Pro Forma Income Statement";"ca2",#N/A,TRUE,"Contribution_Analysis";"acq2",#N/A,TRUE,"Acquirer";"tar2",#N/A,TRUE,"Target"}</definedName>
    <definedName name="wrn.4." hidden="1">{"toc1",#N/A,FALSE,"TOC";"cover",#N/A,FALSE,"Cover";"ts1",#N/A,FALSE,"Transaction Summary";"ei3",#N/A,FALSE,"Earnings Impact";"ad3",#N/A,FALSE,"accretion dilution"}</definedName>
    <definedName name="wrn.40." hidden="1">{"cover",#N/A,TRUE,"Cover";"toc6",#N/A,TRUE,"TOC";"over",#N/A,TRUE,"Overview";"ts2",#N/A,TRUE,"Det_Trans_Sum";"ei3",#N/A,TRUE,"Earnings Impact";"ad3",#N/A,TRUE,"accretion dilution";"hg3",#N/A,TRUE,"Has-Gets";"pfis3",#N/A,TRUE,"Pro Forma Income Statement";"ca3",#N/A,TRUE,"Contribution_Analysis";"acq3",#N/A,TRUE,"Acquirer";"tar3",#N/A,TRUE,"Target"}</definedName>
    <definedName name="wrn.41." hidden="1">{"cover",#N/A,TRUE,"Cover";"toc7",#N/A,TRUE,"TOC";"over",#N/A,TRUE,"Overview";"ts2",#N/A,TRUE,"Det_Trans_Sum";"eic",#N/A,TRUE,"Earnings Impact";"ad",#N/A,TRUE,"accretion dilution";"pfis",#N/A,TRUE,"Pro Forma Income Statement";"profba",#N/A,TRUE,"Pro Forma Balance Sheet";"acqc",#N/A,TRUE,"Acquirer";"tarc",#N/A,TRUE,"Target"}</definedName>
    <definedName name="wrn.42." hidden="1">{"cover",#N/A,TRUE,"Cover";"toc7",#N/A,TRUE,"TOC";"over",#N/A,TRUE,"Overview";"ts2",#N/A,TRUE,"Det_Trans_Sum";"ei1c",#N/A,TRUE,"Earnings Impact";"ad1",#N/A,TRUE,"accretion dilution";"pfis1",#N/A,TRUE,"Pro Forma Income Statement";"profba",#N/A,TRUE,"Pro Forma Balance Sheet";"acq1c",#N/A,TRUE,"Acquirer";"tar1c",#N/A,TRUE,"Target"}</definedName>
    <definedName name="wrn.43." hidden="1">{"cover",#N/A,TRUE,"Cover";"toc7",#N/A,TRUE,"TOC";"over",#N/A,TRUE,"Overview";"ts2",#N/A,TRUE,"Det_Trans_Sum";"ei2c",#N/A,TRUE,"Earnings Impact";"ad2",#N/A,TRUE,"accretion dilution";"pfis2",#N/A,TRUE,"Pro Forma Income Statement";"profba",#N/A,TRUE,"Pro Forma Balance Sheet";"acq2c",#N/A,TRUE,"Acquirer";"tar2c",#N/A,TRUE,"Target"}</definedName>
    <definedName name="wrn.44." hidden="1">{"cover",#N/A,TRUE,"Cover";"toc7",#N/A,TRUE,"TOC";"over",#N/A,TRUE,"Overview";"ts2",#N/A,TRUE,"Det_Trans_Sum";"ei3c",#N/A,TRUE,"Earnings Impact";"ad3",#N/A,TRUE,"accretion dilution";"pfis3",#N/A,TRUE,"Pro Forma Income Statement";"profba",#N/A,TRUE,"Pro Forma Balance Sheet";"acq3c",#N/A,TRUE,"Acquirer";"tar3c",#N/A,TRUE,"Target"}</definedName>
    <definedName name="wrn.45." hidden="1">{"cover",#N/A,TRUE,"Cover";"toc8",#N/A,TRUE,"TOC";"over",#N/A,TRUE,"Overview";"ts2",#N/A,TRUE,"Det_Trans_Sum";"eic",#N/A,TRUE,"Earnings Impact";"ad",#N/A,TRUE,"accretion dilution";"pfis",#N/A,TRUE,"Pro Forma Income Statement";"ca",#N/A,TRUE,"Contribution_Analysis";"profba",#N/A,TRUE,"Pro Forma Balance Sheet";"acqc",#N/A,TRUE,"Acquirer";"tarc",#N/A,TRUE,"Target"}</definedName>
    <definedName name="wrn.46." hidden="1">{"cover",#N/A,TRUE,"Cover";"toc8",#N/A,TRUE,"TOC";"over",#N/A,TRUE,"Overview";"ts2",#N/A,TRUE,"Det_Trans_Sum";"ei1c",#N/A,TRUE,"Earnings Impact";"ad1",#N/A,TRUE,"accretion dilution";"pfis1",#N/A,TRUE,"Pro Forma Income Statement";"ca1",#N/A,TRUE,"Contribution_Analysis";"profba",#N/A,TRUE,"Pro Forma Balance Sheet";"acq1c",#N/A,TRUE,"Acquirer";"tar1c",#N/A,TRUE,"Target"}</definedName>
    <definedName name="wrn.47." hidden="1">{"cover",#N/A,TRUE,"Cover";"toc8",#N/A,TRUE,"TOC";"over",#N/A,TRUE,"Overview";"ts2",#N/A,TRUE,"Det_Trans_Sum";"ei2c",#N/A,TRUE,"Earnings Impact";"ad2",#N/A,TRUE,"accretion dilution";"pfis2",#N/A,TRUE,"Pro Forma Income Statement";"ca2",#N/A,TRUE,"Contribution_Analysis";"profba",#N/A,TRUE,"Pro Forma Balance Sheet";"acq2c",#N/A,TRUE,"Acquirer";"tar2c",#N/A,TRUE,"Target"}</definedName>
    <definedName name="wrn.48." hidden="1">{"cover",#N/A,TRUE,"Cover";"toc8",#N/A,TRUE,"TOC";"over",#N/A,TRUE,"Overview";"ts2",#N/A,TRUE,"Det_Trans_Sum";"ei3c",#N/A,TRUE,"Earnings Impact";"ad3",#N/A,TRUE,"accretion dilution";"pfis3",#N/A,TRUE,"Pro Forma Income Statement";"ca3",#N/A,TRUE,"Contribution_Analysis";"profba",#N/A,TRUE,"Pro Forma Balance Sheet";"acq3c",#N/A,TRUE,"Acquirer";"tar3c",#N/A,TRUE,"Target"}</definedName>
    <definedName name="wrn.49." hidden="1">{"cover",#N/A,TRUE,"Cover";"toc9",#N/A,TRUE,"TOC";"over",#N/A,TRUE,"Overview";"ts2",#N/A,TRUE,"Det_Trans_Sum";"eic",#N/A,TRUE,"Earnings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Statement";"ca",#N/A,TRUE,"Contribution_Analysis";"profba",#N/A,TRUE,"Pro Forma Balance Sheet";"acqc",#N/A,TRUE,"Acquirer";"tarc",#N/A,TRUE,"Target"}</definedName>
    <definedName name="wrn.5." hidden="1">{"cover",#N/A,TRUE,"Cover";"toc2",#N/A,TRUE,"TOC";"ts1",#N/A,TRUE,"Transaction Summary";"ei",#N/A,TRUE,"Earnings Impact";"ad",#N/A,TRUE,"accretion dilution";"hg",#N/A,TRUE,"Has-Gets"}</definedName>
    <definedName name="wrn.50." hidden="1">{"cover",#N/A,TRUE,"Cover";"toc9",#N/A,TRUE,"TOC";"over",#N/A,TRUE,"Overview";"ts2",#N/A,TRUE,"Det_Trans_Sum";"ei1c",#N/A,TRUE,"Earnings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Statement";"ca1",#N/A,TRUE,"Contribution_Analysis";"profba",#N/A,TRUE,"Pro Forma Balance Sheet";"acq1c",#N/A,TRUE,"Acquirer";"tar1c",#N/A,TRUE,"Target"}</definedName>
    <definedName name="wrn.51." hidden="1">{"cover",#N/A,TRUE,"Cover";"toc9",#N/A,TRUE,"TOC";"over",#N/A,TRUE,"Overview";"ei2c",#N/A,TRUE,"Earnings Impact";"ts2",#N/A,TRUE,"Det_Trans_Sum";"ad2",#N/A,TRUE,"accretion dilution";"tas",#N/A,TRUE,"TaintedShares";"hg2",#N/A,TRUE,"Has-Gets";"pfis2",#N/A,TRUE,"Pro Forma Income Statement";"ca2",#N/A,TRUE,"Contribution_Analysis";"profba",#N/A,TRUE,"Pro Forma Balance Sheet";"acq2c",#N/A,TRUE,"Acquirer";"tar2c",#N/A,TRUE,"Target"}</definedName>
    <definedName name="wrn.52." hidden="1">{"cover",#N/A,TRUE,"Cover";"toc9",#N/A,TRUE,"TOC";"over",#N/A,TRUE,"Overview";"ts2",#N/A,TRUE,"Det_Trans_Sum";"ei3c",#N/A,TRUE,"Earnings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Statement";"ca3",#N/A,TRUE,"Contribution_Analysis";"profba",#N/A,TRUE,"Pro Forma Balance Sheet";"acq3c",#N/A,TRUE,"Acquirer";"tar3c",#N/A,TRUE,"Target"}</definedName>
    <definedName name="wrn.53." hidden="1">{"cover",#N/A,TRUE,"Cover";"toc10",#N/A,TRUE,"TOC";"over",#N/A,TRUE,"Overview";"ts2",#N/A,TRUE,"Det_Trans_Sum";"eic",#N/A,TRUE,"Earnings Impact";"ad",#N/A,TRUE,"accretion dilution";"hg",#N/A,TRUE,"Has-Gets";"pfis",#N/A,TRUE,"Pro Forma Income Statement";"ca",#N/A,TRUE,"Contribution_Analysis";"profba",#N/A,TRUE,"Pro Forma Balance Sheet";"acqc",#N/A,TRUE,"Acquirer";"tarc",#N/A,TRUE,"Target"}</definedName>
    <definedName name="wrn.54." hidden="1">{"cover",#N/A,TRUE,"Cover";"toc10",#N/A,TRUE,"TOC";"over",#N/A,TRUE,"Overview";"over",#N/A,TRUE,"Det_Trans_Sum";"ei1c",#N/A,TRUE,"Earnings Impact";"ad1",#N/A,TRUE,"accretion dilution";"hg1",#N/A,TRUE,"Has-Gets";"pfis1",#N/A,TRUE,"Pro Forma Income Statement";"ca1",#N/A,TRUE,"Contribution_Analysis";"profba",#N/A,TRUE,"Pro Forma Balance Sheet";"acq1c",#N/A,TRUE,"Acquirer";"tar1c",#N/A,TRUE,"Target"}</definedName>
    <definedName name="wrn.55." hidden="1">{"cover",#N/A,TRUE,"Cover";"toc10",#N/A,TRUE,"TOC";"over",#N/A,TRUE,"Overview";"ts2",#N/A,TRUE,"Det_Trans_Sum";"ei2c",#N/A,TRUE,"Earnings Impact";"ad2",#N/A,TRUE,"accretion dilution";"hg2",#N/A,TRUE,"Has-Gets";"pfis2",#N/A,TRUE,"Pro Forma Income Statement";"ca2",#N/A,TRUE,"Contribution_Analysis";"profba",#N/A,TRUE,"Pro Forma Balance Sheet";"acq2c",#N/A,TRUE,"Acquirer";"tar2c",#N/A,TRUE,"Target"}</definedName>
    <definedName name="wrn.56." hidden="1">{"cover",#N/A,TRUE,"Cover";"toc10",#N/A,TRUE,"TOC";"over",#N/A,TRUE,"Overview";"ts2",#N/A,TRUE,"Det_Trans_Sum";"ei3c",#N/A,TRUE,"Earnings Impact";"ad3",#N/A,TRUE,"accretion dilution";"hg3",#N/A,TRUE,"Has-Gets";"pfis3",#N/A,TRUE,"Pro Forma Income Statement";"ca3",#N/A,TRUE,"Contribution_Analysis";"profba",#N/A,TRUE,"Pro Forma Balance Sheet";"acq3c",#N/A,TRUE,"Acquirer";"tar3c",#N/A,TRUE,"Target"}</definedName>
    <definedName name="wrn.57." hidden="1">{"cover",#N/A,TRUE,"Cover";"toc7",#N/A,TRUE,"TOC";"over",#N/A,TRUE,"Overview";"ts2",#N/A,TRUE,"Det_Trans_Sum";"ei",#N/A,TRUE,"Earnings Impact";"ad",#N/A,TRUE,"accretion dilution";"pfis",#N/A,TRUE,"Pro Forma Income Statement";"profba",#N/A,TRUE,"Pro Forma Balance Sheet";"acq",#N/A,TRUE,"Acquirer";"tar",#N/A,TRUE,"Target"}</definedName>
    <definedName name="wrn.58." hidden="1">{"cover",#N/A,TRUE,"Cover";"toc7",#N/A,TRUE,"TOC";"over",#N/A,TRUE,"Overview";"ts2",#N/A,TRUE,"Det_Trans_Sum";"ei1",#N/A,TRUE,"Earnings Impact";"ad1",#N/A,TRUE,"accretion dilution";"pfis1",#N/A,TRUE,"Pro Forma Income Statement";"profba",#N/A,TRUE,"Pro Forma Balance Sheet";"acq1",#N/A,TRUE,"Acquirer";"tar1",#N/A,TRUE,"Target"}</definedName>
    <definedName name="wrn.59." hidden="1">{"cover",#N/A,TRUE,"Cover";"toc7",#N/A,TRUE,"TOC";"over",#N/A,TRUE,"Overview";"ts2",#N/A,TRUE,"Det_Trans_Sum";"ei2",#N/A,TRUE,"Earnings Impact";"ad2",#N/A,TRUE,"accretion dilution";"pfis2",#N/A,TRUE,"Pro Forma Income Statement";"profba",#N/A,TRUE,"Pro Forma Balance Sheet";"acq2",#N/A,TRUE,"Acquirer";"tar2",#N/A,TRUE,"Target"}</definedName>
    <definedName name="wrn.6." hidden="1">{"cover",#N/A,TRUE,"Cover";"toc2",#N/A,TRUE,"TOC";"ts1",#N/A,TRUE,"Transaction Summary";"ei1",#N/A,TRUE,"Earnings Impact";"ad1",#N/A,TRUE,"accretion dilution";"hg1",#N/A,TRUE,"Has-Gets"}</definedName>
    <definedName name="wrn.60." hidden="1">{"cover",#N/A,TRUE,"Cover";"toc7",#N/A,TRUE,"TOC";"over",#N/A,TRUE,"Overview";"ts2",#N/A,TRUE,"Det_Trans_Sum";"ei3",#N/A,TRUE,"Earnings Impact";"ad3",#N/A,TRUE,"accretion dilution";"pfis3",#N/A,TRUE,"Pro Forma Income Statement";"profba",#N/A,TRUE,"Pro Forma Balance Sheet";"acq3",#N/A,TRUE,"Acquirer";"tar3",#N/A,TRUE,"Target"}</definedName>
    <definedName name="wrn.61." hidden="1">{"cover",#N/A,TRUE,"Cover";"toc8",#N/A,TRUE,"TOC";"over",#N/A,TRUE,"Overview";"ts2",#N/A,TRUE,"Det_Trans_Sum";"ei",#N/A,TRUE,"Earnings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Statement";"ca",#N/A,TRUE,"Contribution_Analysis";"profba",#N/A,TRUE,"Pro Forma Balance Sheet";"acq",#N/A,TRUE,"Acquirer";"tar",#N/A,TRUE,"Target"}</definedName>
    <definedName name="wrn.62." hidden="1">{"cover",#N/A,TRUE,"Cover";"toc8",#N/A,TRUE,"TOC";"over",#N/A,TRUE,"Overview";"ts2",#N/A,TRUE,"Det_Trans_Sum";"ei1",#N/A,TRUE,"Earnings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Statement";"ca1",#N/A,TRUE,"Contribution_Analysis";"profba",#N/A,TRUE,"Pro Forma Balance Sheet";"acq1",#N/A,TRUE,"Acquirer";"tar1",#N/A,TRUE,"Target"}</definedName>
    <definedName name="wrn.63." hidden="1">{"cover",#N/A,TRUE,"Cover";"toc8",#N/A,TRUE,"TOC";"over",#N/A,TRUE,"Overview";"ts2",#N/A,TRUE,"Det_Trans_Sum";"ei2",#N/A,TRUE,"Earnings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Statement";"ca2",#N/A,TRUE,"Contribution_Analysis";"profba",#N/A,TRUE,"Pro Forma Balance Sheet";"acq2",#N/A,TRUE,"Acquirer";"tar2",#N/A,TRUE,"Target"}</definedName>
    <definedName name="wrn.64." hidden="1">{"cover",#N/A,TRUE,"Cover";"toc8",#N/A,TRUE,"TOC";"over",#N/A,TRUE,"Overview";"ts2",#N/A,TRUE,"Det_Trans_Sum";"ei3",#N/A,TRUE,"Earnings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Statement";"ca3",#N/A,TRUE,"Contribution_Analysis";"profba",#N/A,TRUE,"Pro Forma Balance Sheet";"acq3",#N/A,TRUE,"Acquirer";"tar3",#N/A,TRUE,"Target"}</definedName>
    <definedName name="wrn.65." hidden="1">{"cover",#N/A,TRUE,"Cover";"toc9",#N/A,TRUE,"TOC";"over",#N/A,TRUE,"Overview";"ts2",#N/A,TRUE,"Det_Trans_Sum";"ei",#N/A,TRUE,"Earnings Impact";"ad1",#N/A,TRUE,"accretion dilution";"pfis",#N/A,TRUE,"Pro Forma Income Statement";"ca",#N/A,TRUE,"Contribution_Analysis";"profba",#N/A,TRUE,"Pro Forma Balance Sheet";"acq",#N/A,TRUE,"Acquirer";"tar",#N/A,TRUE,"Target"}</definedName>
    <definedName name="wrn.66." hidden="1">{"cover",#N/A,TRUE,"Cover";"toc9",#N/A,TRUE,"TOC";"over",#N/A,TRUE,"Overview";"ts2",#N/A,TRUE,"Det_Trans_Sum";"ei1",#N/A,TRUE,"Earnings Impact";"ad1",#N/A,TRUE,"accretion dilution";"pfis1",#N/A,TRUE,"Pro Forma Income Statement";"ca1",#N/A,TRUE,"Contribution_Analysis";"profba",#N/A,TRUE,"Pro Forma Balance Sheet";"acq1",#N/A,TRUE,"Acquirer";"tar1",#N/A,TRUE,"Target"}</definedName>
    <definedName name="wrn.67." hidden="1">{"cover",#N/A,TRUE,"Cover";"toc9",#N/A,TRUE,"TOC";"over",#N/A,TRUE,"Overview";"ts2",#N/A,TRUE,"Det_Trans_Sum";"ei2",#N/A,TRUE,"Earnings Impact";"ad2",#N/A,TRUE,"accretion dilution";"pfis2",#N/A,TRUE,"Pro Forma Income Statement";"ca2",#N/A,TRUE,"Contribution_Analysis";"profba",#N/A,TRUE,"Pro Forma Balance Sheet";"acq2",#N/A,TRUE,"Acquirer";"tar2",#N/A,TRUE,"Target"}</definedName>
    <definedName name="wrn.68." hidden="1">{"cover",#N/A,TRUE,"Cover";"toc9",#N/A,TRUE,"TOC";"over",#N/A,TRUE,"Overview";"ts2",#N/A,TRUE,"Det_Trans_Sum";"ei3",#N/A,TRUE,"Earnings Impact";"ad3",#N/A,TRUE,"accretion dilution";"pfis3",#N/A,TRUE,"Pro Forma Income Statement";"ca3",#N/A,TRUE,"Contribution_Analysis";"profba",#N/A,TRUE,"Pro Forma Balance Sheet";"acq3",#N/A,TRUE,"Acquirer";"tar3",#N/A,TRUE,"Target"}</definedName>
    <definedName name="wrn.69." hidden="1">{"cover",#N/A,TRUE,"Cover";"toc10",#N/A,TRUE,"TOC";"over",#N/A,TRUE,"Overview";"ts2",#N/A,TRUE,"Det_Trans_Sum";"ei",#N/A,TRUE,"Earnings Impact";"ad",#N/A,TRUE,"accretion dilution";"hg",#N/A,TRUE,"Has-Gets";"pfis",#N/A,TRUE,"Pro Forma Income Statement";"ca",#N/A,TRUE,"Contribution_Analysis";"profba",#N/A,TRUE,"Pro Forma Balance Sheet";"acq",#N/A,TRUE,"Acquirer";"tar",#N/A,TRUE,"Target"}</definedName>
    <definedName name="wrn.7." hidden="1">{"cover",#N/A,TRUE,"Cover";"toc2",#N/A,TRUE,"TOC";"ts1",#N/A,TRUE,"Transaction Summary";"ei2c",#N/A,TRUE,"Earnings Impact";"ad2",#N/A,TRUE,"accretion dilution";"hg2",#N/A,TRUE,"Has-Gets"}</definedName>
    <definedName name="wrn.70." hidden="1">{"cover",#N/A,TRUE,"Cover";"toc10",#N/A,TRUE,"TOC";"over",#N/A,TRUE,"Overview";"ts2",#N/A,TRUE,"Det_Trans_Sum";"ei1",#N/A,TRUE,"Earnings Impact";"ad1",#N/A,TRUE,"accretion dilution";"hg",#N/A,TRUE,"Has-Gets";"pfis1",#N/A,TRUE,"Pro Forma Income Statement";"ca1",#N/A,TRUE,"Contribution_Analysis";"profba",#N/A,TRUE,"Pro Forma Balance Sheet";"acq1",#N/A,TRUE,"Acquirer";"tar1",#N/A,TRUE,"Target"}</definedName>
    <definedName name="wrn.71." hidden="1">{"cover",#N/A,TRUE,"Cover";"toc10",#N/A,TRUE,"TOC";"over",#N/A,TRUE,"Overview";"ts2",#N/A,TRUE,"Det_Trans_Sum";"ei2",#N/A,TRUE,"Earnings Impact";"ad2",#N/A,TRUE,"accretion dilution";"hg2",#N/A,TRUE,"Has-Gets";"pfis2",#N/A,TRUE,"Pro Forma Income Statement";"ca2",#N/A,TRUE,"Contribution_Analysis";"profba",#N/A,TRUE,"Pro Forma Balance Sheet";"acq2",#N/A,TRUE,"Acquirer";"tar2",#N/A,TRUE,"Target"}</definedName>
    <definedName name="wrn.72." hidden="1">{"cover",#N/A,TRUE,"Cover";"toc10",#N/A,TRUE,"TOC";"over",#N/A,TRUE,"Overview";"ts2",#N/A,TRUE,"Det_Trans_Sum";"ei3",#N/A,TRUE,"Earnings Impact";"ad3",#N/A,TRUE,"accretion dilution";"hg3",#N/A,TRUE,"Has-Gets";"pfis3",#N/A,TRUE,"Pro Forma Income Statement";"ca3",#N/A,TRUE,"Contribution_Analysis";"profba",#N/A,TRUE,"Pro Forma Balance Sheet";"acq3",#N/A,TRUE,"Acquirer";"tar3",#N/A,TRUE,"Target"}</definedName>
    <definedName name="wrn.8." hidden="1">{"cover",#N/A,TRUE,"Cover";"toc2",#N/A,TRUE,"TOC";"ts1",#N/A,TRUE,"Transaction Summary";"ei3",#N/A,TRUE,"Earnings Impact";"ad3",#N/A,TRUE,"accretion dilution";"hg3",#N/A,TRUE,"Has-Gets"}</definedName>
    <definedName name="wrn.9." hidden="1">{"cover",#N/A,TRUE,"Cover";"toc3",#N/A,TRUE,"TOC";"over",#N/A,TRUE,"Overview";"ts2",#N/A,TRUE,"Det_Trans_Sum";"eic",#N/A,TRUE,"Earnings Impact";"ad",#N/A,TRUE,"accretion dilution";"pfis",#N/A,TRUE,"Pro Forma Income Statement";"acqc",#N/A,TRUE,"Acquirer";"tarc",#N/A,TRUE,"Target"}</definedName>
    <definedName name="wrn.99" hidden="1">{"cover",#N/A,TRUE,"Cover";"toc4",#N/A,TRUE,"TOC";"over",#N/A,TRUE,"Overview";"ts2",#N/A,TRUE,"Det_Trans_Sum";"eic",#N/A,TRUE,"Earnings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Statement";"ca",#N/A,TRUE,"Contribution_Analysis";"acqc",#N/A,TRUE,"Acquirer";"tarc",#N/A,TRUE,"Target"}</definedName>
    <definedName name="wrn.ALL." hidden="1">{"Cover",#N/A,FALSE,"cover";"Program",#N/A,FALSE,"Program";"Rent Calculation",#N/A,FALSE,"Income Tiers";"Operations - all",#N/A,FALSE,"Operating";"Operations - PHA",#N/A,FALSE,"ACC Operating";"Operations - LIHTC",#N/A,FALSE,"LIHTC Operating";"Operations - market",#N/A,FALSE,"Mkt. Operating";"Dev Budget - commercial &amp; residential",#N/A,FALSE,"Development";"Dev Budget - 221d",#N/A,FALSE,"Development";"Dev Budget - Tax Treatment",#N/A,FALSE,"Development";"S&amp;U",#N/A,FALSE,"Sources";"221(d)3 limits",#N/A,FALSE,"Cost Limits";"TDC Limits",#N/A,FALSE,"Cost Limits";"Equity Schedule",#N/A,FALSE,"Schedule";"Lease-up",#N/A,FALSE,"Lease Up";"Sale Scenario",#N/A,FALSE,"Sale";"IRR",#N/A,FALSE,"LP Return (2)";"Min Gain Analysis",#N/A,FALSE,"Minumum Gain (2)";"Reserves",#N/A,FALSE,"Reserves";"Benefit schedule",#N/A,FALSE,"LP Benefits (2)";"Loss Schedule",#N/A,FALSE,"Loss";"Debt",#N/A,FALSE,"Debt";"Construction CF",#N/A,FALSE,"MonthlyCF";"proforma - 30yr all",#N/A,FALSE,"Proforma";"proforma - 30yr PHA all",#N/A,FALSE,"ACC Proforma";"proforma - 30yr LIHTC",#N/A,FALSE,"LIHTC Proforma";"proforma - 30yr market",#N/A,FALSE,"Market Proforma"}</definedName>
    <definedName name="wrn.All._.Inputs." hidden="1">{#N/A,#N/A,FALSE,"Primary";#N/A,#N/A,FALSE,"Secondary";#N/A,#N/A,FALSE,"Latent";#N/A,#N/A,FALSE,"Demand Inputs";#N/A,#N/A,FALSE,"Supply Addn";#N/A,#N/A,FALSE,"Mkt Pen"}</definedName>
    <definedName name="wrn.All._.Numbers." hidden="1">{"Inputs",#N/A,FALSE,"Inputs";"Sources and Uses",#N/A,FALSE,"S&amp;U";"Summary",#N/A,FALSE,"Summary";"VRDB Current Market",#N/A,FALSE,"VRDB-Cur";"VRDB 5 Year Average",#N/A,FALSE,"VRDB-His";"Fixed Rate Bonds",#N/A,FALSE,"Fixed";"Bank Taxable",#N/A,FALSE,"Bank-Taxable";"Bank Loan Tax Exempt",#N/A,FALSE,"Bank-TE";"Break Even",#N/A,FALSE,"Sensitivity";"Sensitivity",#N/A,FALSE,"Sensitivity"}</definedName>
    <definedName name="wrn.All._.Numbers2." hidden="1">{"Inputs",#N/A,FALSE,"Inputs";"Sources and Uses",#N/A,FALSE,"S&amp;U";"Summary",#N/A,FALSE,"Summary";"VRDB Current Market",#N/A,FALSE,"VRDB-Cur";"VRDB 5 Year Average",#N/A,FALSE,"VRDB-His";"Fixed Rate Bonds",#N/A,FALSE,"Fixed";"Bank Taxable",#N/A,FALSE,"Bank-Taxable";"Bank Loan Tax Exempt",#N/A,FALSE,"Bank-TE";"Break Even",#N/A,FALSE,"Sensitivity";"Sensitivity",#N/A,FALSE,"Sensitivity"}</definedName>
    <definedName name="wrn.All._.Schedules." hidden="1">{#N/A,#N/A,FALSE,"CF Consolidated 2";#N/A,#N/A,FALSE,"Retail Assump";#N/A,#N/A,FALSE,"CF Retail";#N/A,#N/A,FALSE,"Garage Assumpt 1";#N/A,#N/A,FALSE,"Garage Op Proj";#N/A,#N/A,FALSE,"Hist I&amp;E";#N/A,#N/A,FALSE,"Rent Roll";#N/A,#N/A,FALSE,"RE Taxes";#N/A,#N/A,FALSE,"CAM - BH";#N/A,#N/A,FALSE,"Comm.Condo CAM"}</definedName>
    <definedName name="wrn.All._.Sections." hidden="1">{"Data Entry",#N/A,FALSE,"COMPTEMP";"Ratios",#N/A,FALSE,"COMPTEMP";"Aggregate Values",#N/A,FALSE,"COMPTEMP";"Equity Multiples",#N/A,FALSE,"COMPTEMP";"Summary Overview",#N/A,FALSE,"COMPTEMP"}</definedName>
    <definedName name="wrn.Analysis." hidden="1">{#N/A,#N/A,FALSE,"Setup";#N/A,#N/A,FALSE,"Purchase Analysis"}</definedName>
    <definedName name="wrn.Annual._.CF._1" hidden="1">{"Annual Deal CF 1",#N/A,TRUE,"Investments";"Annual Deal CF 2",#N/A,TRUE,"Investments";"Annual Deal CF 3",#N/A,TRUE,"Investments";"Annual Deal CF 4",#N/A,TRUE,"Investments";"Annual Deal CF 5",#N/A,TRUE,"Investments";"Annual Deal CF 6",#N/A,TRUE,"Investments";"Annual Deal CF 7",#N/A,TRUE,"Investments"}</definedName>
    <definedName name="wrn.Annual._.CF._1_1" hidden="1">{"Annual Deal CF 1",#N/A,TRUE,"Investments";"Annual Deal CF 2",#N/A,TRUE,"Investments";"Annual Deal CF 3",#N/A,TRUE,"Investments";"Annual Deal CF 4",#N/A,TRUE,"Investments";"Annual Deal CF 5",#N/A,TRUE,"Investments";"Annual Deal CF 6",#N/A,TRUE,"Investments";"Annual Deal CF 7",#N/A,TRUE,"Investments"}</definedName>
    <definedName name="wrn.Annual._.CF._1_2" hidden="1">{"Annual Deal CF 1",#N/A,TRUE,"Investments";"Annual Deal CF 2",#N/A,TRUE,"Investments";"Annual Deal CF 3",#N/A,TRUE,"Investments";"Annual Deal CF 4",#N/A,TRUE,"Investments";"Annual Deal CF 5",#N/A,TRUE,"Investments";"Annual Deal CF 6",#N/A,TRUE,"Investments";"Annual Deal CF 7",#N/A,TRUE,"Investments"}</definedName>
    <definedName name="wrn.Annual._.CF._1_3" hidden="1">{"Annual Deal CF 1",#N/A,TRUE,"Investments";"Annual Deal CF 2",#N/A,TRUE,"Investments";"Annual Deal CF 3",#N/A,TRUE,"Investments";"Annual Deal CF 4",#N/A,TRUE,"Investments";"Annual Deal CF 5",#N/A,TRUE,"Investments";"Annual Deal CF 6",#N/A,TRUE,"Investments";"Annual Deal CF 7",#N/A,TRUE,"Investments"}</definedName>
    <definedName name="wrn.Annual._.CF._2" hidden="1">{"Annual Deal CF 1",#N/A,TRUE,"Investments";"Annual Deal CF 2",#N/A,TRUE,"Investments";"Annual Deal CF 3",#N/A,TRUE,"Investments";"Annual Deal CF 4",#N/A,TRUE,"Investments";"Annual Deal CF 5",#N/A,TRUE,"Investments";"Annual Deal CF 6",#N/A,TRUE,"Investments";"Annual Deal CF 7",#N/A,TRUE,"Investments"}</definedName>
    <definedName name="wrn.Annual._.CF._3" hidden="1">{"Annual Deal CF 1",#N/A,TRUE,"Investments";"Annual Deal CF 2",#N/A,TRUE,"Investments";"Annual Deal CF 3",#N/A,TRUE,"Investments";"Annual Deal CF 4",#N/A,TRUE,"Investments";"Annual Deal CF 5",#N/A,TRUE,"Investments";"Annual Deal CF 6",#N/A,TRUE,"Investments";"Annual Deal CF 7",#N/A,TRUE,"Investments"}</definedName>
    <definedName name="wrn.Annual._.CF._4" hidden="1">{"Annual Deal CF 1",#N/A,TRUE,"Investments";"Annual Deal CF 2",#N/A,TRUE,"Investments";"Annual Deal CF 3",#N/A,TRUE,"Investments";"Annual Deal CF 4",#N/A,TRUE,"Investments";"Annual Deal CF 5",#N/A,TRUE,"Investments";"Annual Deal CF 6",#N/A,TRUE,"Investments";"Annual Deal CF 7",#N/A,TRUE,"Investments"}</definedName>
    <definedName name="wrn.Annual._.Summary." hidden="1">{"Annual Cash Flows",#N/A,FALSE,"Annual Summary"}</definedName>
    <definedName name="wrn.Annual.CF" hidden="1">{"Annual Deal CF 1",#N/A,TRUE,"Investments";"Annual Deal CF 2",#N/A,TRUE,"Investments";"Annual Deal CF 3",#N/A,TRUE,"Investments";"Annual Deal CF 4",#N/A,TRUE,"Investments";"Annual Deal CF 5",#N/A,TRUE,"Investments";"Annual Deal CF 6",#N/A,TRUE,"Investments";"Annual Deal CF 7",#N/A,TRUE,"Investments"}</definedName>
    <definedName name="wrn.Annual.CF_1" hidden="1">{"Annual Deal CF 1",#N/A,TRUE,"Investments";"Annual Deal CF 2",#N/A,TRUE,"Investments";"Annual Deal CF 3",#N/A,TRUE,"Investments";"Annual Deal CF 4",#N/A,TRUE,"Investments";"Annual Deal CF 5",#N/A,TRUE,"Investments";"Annual Deal CF 6",#N/A,TRUE,"Investments";"Annual Deal CF 7",#N/A,TRUE,"Investments"}</definedName>
    <definedName name="wrn.Annual.CF_1_1" hidden="1">{"Annual Deal CF 1",#N/A,TRUE,"Investments";"Annual Deal CF 2",#N/A,TRUE,"Investments";"Annual Deal CF 3",#N/A,TRUE,"Investments";"Annual Deal CF 4",#N/A,TRUE,"Investments";"Annual Deal CF 5",#N/A,TRUE,"Investments";"Annual Deal CF 6",#N/A,TRUE,"Investments";"Annual Deal CF 7",#N/A,TRUE,"Investments"}</definedName>
    <definedName name="wrn.Annual.CF_1_2" hidden="1">{"Annual Deal CF 1",#N/A,TRUE,"Investments";"Annual Deal CF 2",#N/A,TRUE,"Investments";"Annual Deal CF 3",#N/A,TRUE,"Investments";"Annual Deal CF 4",#N/A,TRUE,"Investments";"Annual Deal CF 5",#N/A,TRUE,"Investments";"Annual Deal CF 6",#N/A,TRUE,"Investments";"Annual Deal CF 7",#N/A,TRUE,"Investments"}</definedName>
    <definedName name="wrn.Annual.CF_1_3" hidden="1">{"Annual Deal CF 1",#N/A,TRUE,"Investments";"Annual Deal CF 2",#N/A,TRUE,"Investments";"Annual Deal CF 3",#N/A,TRUE,"Investments";"Annual Deal CF 4",#N/A,TRUE,"Investments";"Annual Deal CF 5",#N/A,TRUE,"Investments";"Annual Deal CF 6",#N/A,TRUE,"Investments";"Annual Deal CF 7",#N/A,TRUE,"Investments"}</definedName>
    <definedName name="wrn.Annual.CF_2" hidden="1">{"Annual Deal CF 1",#N/A,TRUE,"Investments";"Annual Deal CF 2",#N/A,TRUE,"Investments";"Annual Deal CF 3",#N/A,TRUE,"Investments";"Annual Deal CF 4",#N/A,TRUE,"Investments";"Annual Deal CF 5",#N/A,TRUE,"Investments";"Annual Deal CF 6",#N/A,TRUE,"Investments";"Annual Deal CF 7",#N/A,TRUE,"Investments"}</definedName>
    <definedName name="wrn.Annual.CF_3" hidden="1">{"Annual Deal CF 1",#N/A,TRUE,"Investments";"Annual Deal CF 2",#N/A,TRUE,"Investments";"Annual Deal CF 3",#N/A,TRUE,"Investments";"Annual Deal CF 4",#N/A,TRUE,"Investments";"Annual Deal CF 5",#N/A,TRUE,"Investments";"Annual Deal CF 6",#N/A,TRUE,"Investments";"Annual Deal CF 7",#N/A,TRUE,"Investments"}</definedName>
    <definedName name="wrn.Annual.CF_4" hidden="1">{"Annual Deal CF 1",#N/A,TRUE,"Investments";"Annual Deal CF 2",#N/A,TRUE,"Investments";"Annual Deal CF 3",#N/A,TRUE,"Investments";"Annual Deal CF 4",#N/A,TRUE,"Investments";"Annual Deal CF 5",#N/A,TRUE,"Investments";"Annual Deal CF 6",#N/A,TRUE,"Investments";"Annual Deal CF 7",#N/A,TRUE,"Investments"}</definedName>
    <definedName name="wrn.AnnualRentRoll" hidden="1">{"AnnualRentRoll",#N/A,FALSE,"RentRoll"}</definedName>
    <definedName name="wrn.AnnualRentRoll." hidden="1">{"AnnualRentRoll",#N/A,FALSE,"RentRoll"}</definedName>
    <definedName name="wrn.annualrentroll2" hidden="1">{"AnnualRentRoll",#N/A,FALSE,"RentRoll"}</definedName>
    <definedName name="wrn.appendix._.c." hidden="1">{"interim 20",#N/A,TRUE,"Interim";"landsale 20",#N/A,TRUE,"LandSale";"noi 20",#N/A,TRUE,"NOI";"bldg sale 20",#N/A,TRUE,"BldgSale";"aff hsg",#N/A,TRUE,"AffHsg"}</definedName>
    <definedName name="wrn.Asia._.Total._.Variance." hidden="1">{#N/A,#N/A,FALSE,"Asia"}</definedName>
    <definedName name="wrn.Assumptions." hidden="1">{"Assumptions",#N/A,FALSE,"Assumptions"}</definedName>
    <definedName name="wrn.Auto._.Comp." hidden="1">{#N/A,#N/A,FALSE,"Sheet1"}</definedName>
    <definedName name="wrn.Bank._.Loan._.Tax._.Exempt." hidden="1">{"Bank Loan Tax Exempt",#N/A,FALSE,"Bank-TE"}</definedName>
    <definedName name="wrn.Bank._.Loan._.Taxable." hidden="1">{"Bank Taxable",#N/A,FALSE,"Bank-Taxable"}</definedName>
    <definedName name="wrn.BaseYearDemand." hidden="1">{"Base Year Demand",#N/A,FALSE,"Demand-Base Year"}</definedName>
    <definedName name="wrn.Basic." hidden="1">{"Cover Basic",#N/A,FALSE,"cover";"Operations - all",#N/A,FALSE,"Operating";"Dev Budget - detail",#N/A,FALSE,"Development";"Dev Budget - commercial &amp; residential",#N/A,FALSE,"Development";"S&amp;U",#N/A,FALSE,"Sources";"Lease-up",#N/A,FALSE,"Lease Up";"proforma - 30yr all",#N/A,FALSE,"Proforma"}</definedName>
    <definedName name="wrn.Blue._.Book._.Sections." hidden="1">{#N/A,#N/A,TRUE,"Summary";#N/A,#N/A,TRUE,"Program Scheme";#N/A,#N/A,TRUE,"Assumptions";#N/A,#N/A,TRUE,"Development Budget &amp; Timing";#N/A,#N/A,TRUE,"Cash Flow";#N/A,#N/A,TRUE,"Cash Flow to Debt &amp; Equity"}</definedName>
    <definedName name="wrn.Boston._.1.4._1" hidden="1">{"Coversheet",#N/A,TRUE,"Sheet1";"Sensitivity",#N/A,TRUE,"Sheet1";"Value",#N/A,TRUE,"Sheet1";"Asset",#N/A,TRUE,"Sheet1";"Cash+Equity",#N/A,TRUE,"Sheet1";"DCF",#N/A,TRUE,"Sheet1";"Partnership Distribution",#N/A,TRUE,"Sheet1";"Promote1",#N/A,TRUE,"Sheet1";"Promote2",#N/A,TRUE,"Sheet1";"Promote3",#N/A,TRUE,"Sheet1";"Assumptions",#N/A,TRUE,"Sheet1"}</definedName>
    <definedName name="wrn.Boston._.1.4._2" hidden="1">{"Coversheet",#N/A,TRUE,"Sheet1";"Sensitivity",#N/A,TRUE,"Sheet1";"Value",#N/A,TRUE,"Sheet1";"Asset",#N/A,TRUE,"Sheet1";"Cash+Equity",#N/A,TRUE,"Sheet1";"DCF",#N/A,TRUE,"Sheet1";"Partnership Distribution",#N/A,TRUE,"Sheet1";"Promote1",#N/A,TRUE,"Sheet1";"Promote2",#N/A,TRUE,"Sheet1";"Promote3",#N/A,TRUE,"Sheet1";"Assumptions",#N/A,TRUE,"Sheet1"}</definedName>
    <definedName name="wrn.Boston._.1.4._3" hidden="1">{"Coversheet",#N/A,TRUE,"Sheet1";"Sensitivity",#N/A,TRUE,"Sheet1";"Value",#N/A,TRUE,"Sheet1";"Asset",#N/A,TRUE,"Sheet1";"Cash+Equity",#N/A,TRUE,"Sheet1";"DCF",#N/A,TRUE,"Sheet1";"Partnership Distribution",#N/A,TRUE,"Sheet1";"Promote1",#N/A,TRUE,"Sheet1";"Promote2",#N/A,TRUE,"Sheet1";"Promote3",#N/A,TRUE,"Sheet1";"Assumptions",#N/A,TRUE,"Sheet1"}</definedName>
    <definedName name="wrn.Both._.Outputs." hidden="1">{"LTV Output",#N/A,FALSE,"Output";"DCR Output",#N/A,FALSE,"Output"}</definedName>
    <definedName name="wrn.Break._.Even._.Analysis." hidden="1">{"Break Even",#N/A,FALSE,"Sensitivity"}</definedName>
    <definedName name="wrn.breakup." hidden="1">{"comps1",#N/A,FALSE,"Comps Sheet";"comps2",#N/A,FALSE,"Comps Sheet";"comps3",#N/A,FALSE,"Comps Sheet";"comps4",#N/A,FALSE,"Comps Sheet";"comps5",#N/A,FALSE,"Comps Sheet";"comps6",#N/A,FALSE,"Comps Sheet";"ec",#N/A,FALSE,"E&amp;C";"environmental",#N/A,FALSE,"Environmental";"heavy",#N/A,FALSE,"Heavy Const."}</definedName>
    <definedName name="wrn.CF._.Print." hidden="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wrn.COMBINED." hidden="1">{#N/A,#N/A,FALSE,"INPUTS";#N/A,#N/A,FALSE,"PROFORMA BSHEET";#N/A,#N/A,FALSE,"COMBINED";#N/A,#N/A,FALSE,"HIGH YIELD";#N/A,#N/A,FALSE,"COMB_GRAPHS"}</definedName>
    <definedName name="wrn.Complete.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.II._1" hidden="1">{"Summary",#N/A,TRUE,"Fund";"Value",#N/A,TRUE,"Fund";"Sensitivity",#N/A,TRUE,"Fund";"Cash_Flows",#N/A,TRUE,"Fund";"Cash/Equity",#N/A,TRUE,"Fund";"DCF/Yield",#N/A,TRUE,"Fund";"Splits 1",#N/A,TRUE,"Fund";"Promote I",#N/A,TRUE,"Fund";"Promote II",#N/A,TRUE,"Fund";"Promote III",#N/A,TRUE,"Fund";"Assumptions",#N/A,TRUE,"Fund"}</definedName>
    <definedName name="wrn.Complete._.II._2" hidden="1">{"Summary",#N/A,TRUE,"Fund";"Value",#N/A,TRUE,"Fund";"Sensitivity",#N/A,TRUE,"Fund";"Cash_Flows",#N/A,TRUE,"Fund";"Cash/Equity",#N/A,TRUE,"Fund";"DCF/Yield",#N/A,TRUE,"Fund";"Splits 1",#N/A,TRUE,"Fund";"Promote I",#N/A,TRUE,"Fund";"Promote II",#N/A,TRUE,"Fund";"Promote III",#N/A,TRUE,"Fund";"Assumptions",#N/A,TRUE,"Fund"}</definedName>
    <definedName name="wrn.Complete._.II._3" hidden="1">{"Summary",#N/A,TRUE,"Fund";"Value",#N/A,TRUE,"Fund";"Sensitivity",#N/A,TRUE,"Fund";"Cash_Flows",#N/A,TRUE,"Fund";"Cash/Equity",#N/A,TRUE,"Fund";"DCF/Yield",#N/A,TRUE,"Fund";"Splits 1",#N/A,TRUE,"Fund";"Promote I",#N/A,TRUE,"Fund";"Promote II",#N/A,TRUE,"Fund";"Promote III",#N/A,TRUE,"Fund";"Assumptions",#N/A,TRUE,"Fund"}</definedName>
    <definedName name="wrn.Complete._1" hidden="1">{"Summary",#N/A,TRUE,"Sheet1";"Sensitivity",#N/A,TRUE,"Sheet1";"Value",#N/A,TRUE,"Sheet1";"Asset",#N/A,TRUE,"Sheet1";"Cash",#N/A,TRUE,"Sheet1";"Equity",#N/A,TRUE,"Sheet1";"DCF",#N/A,TRUE,"Sheet1";"Splits",#N/A,TRUE,"Sheet1";"Promote1",#N/A,TRUE,"Sheet1";"Promote2",#N/A,TRUE,"Sheet1";"Promote3",#N/A,TRUE,"Sheet1";"Assumptions",#N/A,TRUE,"Sheet1";"Debt",#N/A,TRUE,"Sheet1";"Cash_Flows",#N/A,TRUE,"Sheet3"}</definedName>
    <definedName name="wrn.Complete._2" hidden="1">{"Summary",#N/A,TRUE,"Sheet1";"Sensitivity",#N/A,TRUE,"Sheet1";"Value",#N/A,TRUE,"Sheet1";"Asset",#N/A,TRUE,"Sheet1";"Cash",#N/A,TRUE,"Sheet1";"Equity",#N/A,TRUE,"Sheet1";"DCF",#N/A,TRUE,"Sheet1";"Splits",#N/A,TRUE,"Sheet1";"Promote1",#N/A,TRUE,"Sheet1";"Promote2",#N/A,TRUE,"Sheet1";"Promote3",#N/A,TRUE,"Sheet1";"Assumptions",#N/A,TRUE,"Sheet1";"Debt",#N/A,TRUE,"Sheet1";"Cash_Flows",#N/A,TRUE,"Sheet3"}</definedName>
    <definedName name="wrn.Complete._3" hidden="1">{"Summary",#N/A,TRUE,"Sheet1";"Sensitivity",#N/A,TRUE,"Sheet1";"Value",#N/A,TRUE,"Sheet1";"Asset",#N/A,TRUE,"Sheet1";"Cash",#N/A,TRUE,"Sheet1";"Equity",#N/A,TRUE,"Sheet1";"DCF",#N/A,TRUE,"Sheet1";"Splits",#N/A,TRUE,"Sheet1";"Promote1",#N/A,TRUE,"Sheet1";"Promote2",#N/A,TRUE,"Sheet1";"Promote3",#N/A,TRUE,"Sheet1";"Assumptions",#N/A,TRUE,"Sheet1";"Debt",#N/A,TRUE,"Sheet1";"Cash_Flows",#N/A,TRUE,"Sheet3"}</definedName>
    <definedName name="wrn.Complete_2._1" hidden="1">{"Summary",#N/A,TRUE,"Model";"Value",#N/A,TRUE,"Model";"Sensitivity",#N/A,TRUE,"Model";"Asset",#N/A,TRUE,"Model";"Cash_Flows",#N/A,TRUE,"Cash Flow";"Cash",#N/A,TRUE,"Model";"Equity",#N/A,TRUE,"Model";"DCF",#N/A,TRUE,"Model";"Splits 1",#N/A,TRUE,"Model";"Splits 2",#N/A,TRUE,"Model";"Promote1",#N/A,TRUE,"Model";"Promote2",#N/A,TRUE,"Model";"Promote3",#N/A,TRUE,"Model";"Debt",#N/A,TRUE,"Debt";"Assumptions",#N/A,TRUE,"Model"}</definedName>
    <definedName name="wrn.Complete_2._2" hidden="1">{"Summary",#N/A,TRUE,"Model";"Value",#N/A,TRUE,"Model";"Sensitivity",#N/A,TRUE,"Model";"Asset",#N/A,TRUE,"Model";"Cash_Flows",#N/A,TRUE,"Cash Flow";"Cash",#N/A,TRUE,"Model";"Equity",#N/A,TRUE,"Model";"DCF",#N/A,TRUE,"Model";"Splits 1",#N/A,TRUE,"Model";"Splits 2",#N/A,TRUE,"Model";"Promote1",#N/A,TRUE,"Model";"Promote2",#N/A,TRUE,"Model";"Promote3",#N/A,TRUE,"Model";"Debt",#N/A,TRUE,"Debt";"Assumptions",#N/A,TRUE,"Model"}</definedName>
    <definedName name="wrn.Complete_2._3" hidden="1">{"Summary",#N/A,TRUE,"Model";"Value",#N/A,TRUE,"Model";"Sensitivity",#N/A,TRUE,"Model";"Asset",#N/A,TRUE,"Model";"Cash_Flows",#N/A,TRUE,"Cash Flow";"Cash",#N/A,TRUE,"Model";"Equity",#N/A,TRUE,"Model";"DCF",#N/A,TRUE,"Model";"Splits 1",#N/A,TRUE,"Model";"Splits 2",#N/A,TRUE,"Model";"Promote1",#N/A,TRUE,"Model";"Promote2",#N/A,TRUE,"Model";"Promote3",#N/A,TRUE,"Model";"Debt",#N/A,TRUE,"Debt";"Assumptions",#N/A,TRUE,"Model"}</definedName>
    <definedName name="wrn.Construction._.Costs." hidden="1">{"Construction Costs",#N/A,FALSE,"Total Costs"}</definedName>
    <definedName name="wrn.Control_A." hidden="1">{#N/A,#N/A,FALSE,"Notes";#N/A,#N/A,FALSE,"CFD Summary";#N/A,#N/A,FALSE,"Loan Value";#N/A,#N/A,FALSE,"CashFlowSummary";#N/A,#N/A,FALSE,"InvestorSummary";#N/A,#N/A,FALSE,"RevenueAssumptions";#N/A,#N/A,FALSE,"MasterCostAssmp";#N/A,#N/A,FALSE,"InTractCstAssmp";#N/A,#N/A,FALSE,"LotTakedowns"}</definedName>
    <definedName name="wrn.Control_M." hidden="1">{#N/A,#N/A,FALSE,"Notes";#N/A,#N/A,FALSE,"CFD Summary";#N/A,#N/A,FALSE,"BaseAssumptions";#N/A,#N/A,FALSE,"RevenueAssumptions";#N/A,#N/A,FALSE,"MasterCostAssmp";#N/A,#N/A,FALSE,"InTractCstAssmp";#N/A,#N/A,FALSE,"LotTakedowns";#N/A,#N/A,FALSE,"CashFlowSummary";#N/A,#N/A,FALSE,"FlowSummary";#N/A,#N/A,FALSE,"SourcesAndUses";#N/A,#N/A,FALSE,"CashDistribute";#N/A,#N/A,FALSE,"InvestorSummary";#N/A,#N/A,FALSE,"AcqDev Loan";#N/A,#N/A,FALSE,"Finance Summary";#N/A,#N/A,FALSE,"Valuation"}</definedName>
    <definedName name="wrn.Converse._1" hidden="1">{"Cover",#N/A,TRUE,"Sheet1";"Valuation",#N/A,TRUE,"Sheet1";"Sensitivity",#N/A,TRUE,"Sheet1";"Portfolio CF",#N/A,TRUE,"Sheet1";"Pship NCF",#N/A,TRUE,"Sheet1";"Equity &amp; DCF",#N/A,TRUE,"Sheet1";"Pship Dist 1",#N/A,TRUE,"Sheet1";"Pship Dist 2",#N/A,TRUE,"Sheet1";"Pship Dist 3",#N/A,TRUE,"Sheet1";"MIR Splits 1",#N/A,TRUE,"Sheet1";"MIR Splits 2",#N/A,TRUE,"Sheet1";"MIR Splits 3",#N/A,TRUE,"Sheet1";"Assumptions",#N/A,TRUE,"Sheet1"}</definedName>
    <definedName name="wrn.Converse._2" hidden="1">{"Cover",#N/A,TRUE,"Sheet1";"Valuation",#N/A,TRUE,"Sheet1";"Sensitivity",#N/A,TRUE,"Sheet1";"Portfolio CF",#N/A,TRUE,"Sheet1";"Pship NCF",#N/A,TRUE,"Sheet1";"Equity &amp; DCF",#N/A,TRUE,"Sheet1";"Pship Dist 1",#N/A,TRUE,"Sheet1";"Pship Dist 2",#N/A,TRUE,"Sheet1";"Pship Dist 3",#N/A,TRUE,"Sheet1";"MIR Splits 1",#N/A,TRUE,"Sheet1";"MIR Splits 2",#N/A,TRUE,"Sheet1";"MIR Splits 3",#N/A,TRUE,"Sheet1";"Assumptions",#N/A,TRUE,"Sheet1"}</definedName>
    <definedName name="wrn.Converse._3" hidden="1">{"Cover",#N/A,TRUE,"Sheet1";"Valuation",#N/A,TRUE,"Sheet1";"Sensitivity",#N/A,TRUE,"Sheet1";"Portfolio CF",#N/A,TRUE,"Sheet1";"Pship NCF",#N/A,TRUE,"Sheet1";"Equity &amp; DCF",#N/A,TRUE,"Sheet1";"Pship Dist 1",#N/A,TRUE,"Sheet1";"Pship Dist 2",#N/A,TRUE,"Sheet1";"Pship Dist 3",#N/A,TRUE,"Sheet1";"MIR Splits 1",#N/A,TRUE,"Sheet1";"MIR Splits 2",#N/A,TRUE,"Sheet1";"MIR Splits 3",#N/A,TRUE,"Sheet1";"Assumptions",#N/A,TRUE,"Sheet1"}</definedName>
    <definedName name="wrn.Cottage._.Summary." hidden="1">{"cot1",#N/A,FALSE,"Cottages";"cot2",#N/A,FALSE,"Cottages";"cot3",#N/A,FALSE,"Cottages"}</definedName>
    <definedName name="wrn.cssa." hidden="1">{#N/A,#N/A,FALSE,"WATCHDSC";#N/A,#N/A,FALSE,"2LOSSMOD";#N/A,#N/A,FALSE,"2LOSS";#N/A,#N/A,FALSE,"DSC";#N/A,#N/A,FALSE,"OPERAT";#N/A,#N/A,FALSE,"ADJUST";#N/A,#N/A,FALSE,"LEASE EXPIRE"}</definedName>
    <definedName name="wrn.Ctrl._.A._.Annually." hidden="1">{#N/A,#N/A,FALSE,"Notes";"CashFlowSummary Annually",#N/A,FALSE,"CashFlowSummary";"InvestorSummary Annually",#N/A,FALSE,"InvestorSummary";#N/A,#N/A,FALSE,"RevenueAssumptions";"MasterCostAssmp Annually",#N/A,FALSE,"MasterCostAssmp";#N/A,#N/A,FALSE,"InTractCstAssmp";"LotTakedowns Annually",#N/A,FALSE,"LotTakedowns"}</definedName>
    <definedName name="wrn.Ctrl._.A._.Quarterly." hidden="1">{#N/A,#N/A,FALSE,"Notes";#N/A,#N/A,FALSE,"Loan Value";"CashFlowSummary Quarterly",#N/A,FALSE,"CashFlowSummary";"InvestorSummary Quarterly",#N/A,FALSE,"InvestorSummary";#N/A,#N/A,FALSE,"RevenueAssumptions";"MasterCostAssmp Quarterly",#N/A,FALSE,"MasterCostAssmp";#N/A,#N/A,FALSE,"InTractCstAssmp";"Lot Takedowns Quarterly",#N/A,FALSE,"LotTakedowns"}</definedName>
    <definedName name="wrn.Ctrl._.M." hidden="1">{#N/A,#N/A,FALSE,"Notes";#N/A,#N/A,FALSE,"BaseAssumptions";#N/A,#N/A,FALSE,"CFD Summary";#N/A,#N/A,FALSE,"RevenueAssumptions";#N/A,#N/A,FALSE,"MasterCostAssmp";#N/A,#N/A,FALSE,"InTractCstAssmp";#N/A,#N/A,FALSE,"LotTakedowns";#N/A,#N/A,FALSE,"CashFlowSummary";#N/A,#N/A,FALSE,"Loan Value";#N/A,#N/A,FALSE,"AcqDev Loan";#N/A,#N/A,FALSE,"FlowSummary";#N/A,#N/A,FALSE,"SourcesAndUses";#N/A,#N/A,FALSE,"CashDistribute";#N/A,#N/A,FALSE,"InvestorSummary";#N/A,#N/A,FALSE,"Finance Summary";#N/A,#N/A,FALSE,"SourceAndUse";#N/A,#N/A,FALSE,"Valuation"}</definedName>
    <definedName name="wrn.Ctrl._.M._.Annually." hidden="1">{#N/A,#N/A,FALSE,"Notes";#N/A,#N/A,FALSE,"BaseAssumptions";#N/A,#N/A,FALSE,"CFD";#N/A,#N/A,FALSE,"RevenueAssumptions";"MasterCostAssmp Annually",#N/A,FALSE,"MasterCostAssmp";#N/A,#N/A,FALSE,"InTractCstAssmp";"LotTakedowns Annually",#N/A,FALSE,"LotTakedowns";"CashFlowSummary Annually",#N/A,FALSE,"CashFlowSummary";#N/A,#N/A,FALSE,"Loan Value";"AcqDev Loan Annually",#N/A,FALSE,"AcqDev Loan";"Loan #1 Annually",#N/A,FALSE,"Loan #1";"Loan #2 Annually",#N/A,FALSE,"Loan #2";"Loan #3 Annually",#N/A,FALSE,"Loan #3";"Consolidated Loan Annually",#N/A,FALSE,"Consolidated Loan";"FlowSummary Annually",#N/A,FALSE,"FlowSummary";"SourcesAndUses Annually",#N/A,FALSE,"SourcesAndUses";"CashDistribute Annually",#N/A,FALSE,"CashDistribute";"InvestorSummary Annually",#N/A,FALSE,"InvestorSummary";#N/A,#N/A,FALSE,"Finance Summary";#N/A,#N/A,FALSE,"Valuation"}</definedName>
    <definedName name="wrn.Ctrl._.M._.Quarterly." hidden="1">{#N/A,#N/A,FALSE,"Notes";#N/A,#N/A,FALSE,"BaseAssumptions";#N/A,#N/A,FALSE,"CFD";#N/A,#N/A,FALSE,"RevenueAssumptions";"MasterCostAssmp Quarterly",#N/A,FALSE,"MasterCostAssmp";"Lot Takedowns Quarterly",#N/A,FALSE,"LotTakedowns";#N/A,#N/A,FALSE,"InTractCstAssmp";"CashFlowSummary Quarterly",#N/A,FALSE,"CashFlowSummary";#N/A,#N/A,FALSE,"Loan Value";"AcqDev Loan Quarterly",#N/A,FALSE,"AcqDev Loan";"Loan #1 Quarterly",#N/A,FALSE,"Loan #1";"Loan #2 Quarterly",#N/A,FALSE,"Loan #2";"Loan #3 Quarterly",#N/A,FALSE,"Loan #3";"Consolidated Loan Quarterly",#N/A,FALSE,"Consolidated Loan";"FlowSummary Quarterly",#N/A,FALSE,"FlowSummary";"SourcesAndUses Quarterly",#N/A,FALSE,"SourcesAndUses";"CashDistribute Quarterly",#N/A,FALSE,"CashDistribute";"InvestorSummary Quarterly",#N/A,FALSE,"InvestorSummary";#N/A,#N/A,FALSE,"Finance Summary";#N/A,#N/A,FALSE,"Valuation"}</definedName>
    <definedName name="wrn.Current._1" hidden="1">{"Coversheet",#N/A,TRUE,"Sheet1";"Valuation Summary",#N/A,TRUE,"Sheet1";"Cash Flow Projection",#N/A,TRUE,"Sheet1";"Pship Cash &amp; Equity Value",#N/A,TRUE,"Sheet1";"DCF",#N/A,TRUE,"Sheet1";"Partnership Distributions",#N/A,TRUE,"Sheet1";"MIR/Capital Partner Splits",#N/A,TRUE,"Sheet1";"MIR ROC &amp; Pref (3)",#N/A,TRUE,"Sheet1";"MIR Catchup &amp; Promote (4)",#N/A,TRUE,"Sheet1";"Assumptions",#N/A,TRUE,"Sheet1";"Sensitivity",#N/A,TRUE,"Sheet1";"PropertyPage 1",#N/A,TRUE,"Properties";"PropertyPage 2",#N/A,TRUE,"Properties";"PropertyPage 3",#N/A,TRUE,"Properties"}</definedName>
    <definedName name="wrn.Current._2" hidden="1">{"Coversheet",#N/A,TRUE,"Sheet1";"Valuation Summary",#N/A,TRUE,"Sheet1";"Cash Flow Projection",#N/A,TRUE,"Sheet1";"Pship Cash &amp; Equity Value",#N/A,TRUE,"Sheet1";"DCF",#N/A,TRUE,"Sheet1";"Partnership Distributions",#N/A,TRUE,"Sheet1";"MIR/Capital Partner Splits",#N/A,TRUE,"Sheet1";"MIR ROC &amp; Pref (3)",#N/A,TRUE,"Sheet1";"MIR Catchup &amp; Promote (4)",#N/A,TRUE,"Sheet1";"Assumptions",#N/A,TRUE,"Sheet1";"Sensitivity",#N/A,TRUE,"Sheet1";"PropertyPage 1",#N/A,TRUE,"Properties";"PropertyPage 2",#N/A,TRUE,"Properties";"PropertyPage 3",#N/A,TRUE,"Properties"}</definedName>
    <definedName name="wrn.Current._3" hidden="1">{"Coversheet",#N/A,TRUE,"Sheet1";"Valuation Summary",#N/A,TRUE,"Sheet1";"Cash Flow Projection",#N/A,TRUE,"Sheet1";"Pship Cash &amp; Equity Value",#N/A,TRUE,"Sheet1";"DCF",#N/A,TRUE,"Sheet1";"Partnership Distributions",#N/A,TRUE,"Sheet1";"MIR/Capital Partner Splits",#N/A,TRUE,"Sheet1";"MIR ROC &amp; Pref (3)",#N/A,TRUE,"Sheet1";"MIR Catchup &amp; Promote (4)",#N/A,TRUE,"Sheet1";"Assumptions",#N/A,TRUE,"Sheet1";"Sensitivity",#N/A,TRUE,"Sheet1";"PropertyPage 1",#N/A,TRUE,"Properties";"PropertyPage 2",#N/A,TRUE,"Properties";"PropertyPage 3",#N/A,TRUE,"Properties"}</definedName>
    <definedName name="wrn.data." hidden="1">{"data",#N/A,FALSE,"INPUT"}</definedName>
    <definedName name="wrn.DCR._.Output." hidden="1">{"DCR Output",#N/A,FALSE,"Output"}</definedName>
    <definedName name="wrn.Demand._.Calcs." hidden="1">{#N/A,#N/A,FALSE,"Demand Calcs"}</definedName>
    <definedName name="wrn.Demand._.Inputs." hidden="1">{#N/A,#N/A,FALSE,"Demand Inputs"}</definedName>
    <definedName name="wrn.Downside." hidden="1">{"Downside",#N/A,FALSE,"Downside"}</definedName>
    <definedName name="wrn.Draw._.Submittal." hidden="1">{#N/A,#N/A,FALSE,"SS(Gross)";#N/A,#N/A,FALSE,"SS(Net)";#N/A,#N/A,FALSE,"Invoice";#N/A,#N/A,FALSE,"G702";#N/A,#N/A,FALSE,"G703"}</definedName>
    <definedName name="wrn.ExitAndSalesAssumptions." hidden="1">{#N/A,#N/A,FALSE,"ExitStratigy"}</definedName>
    <definedName name="wrn.Fair._.Share._.Calcs." hidden="1">{#N/A,#N/A,FALSE,"Fair Share"}</definedName>
    <definedName name="wrn.FCG." hidden="1">{#N/A,#N/A,TRUE,"Title Page";#N/A,#N/A,TRUE,"Executive Summary";#N/A,#N/A,TRUE,"Cash Flow";#N/A,#N/A,TRUE,"Exp Detail";#N/A,#N/A,TRUE,"Pricing Matrix";#N/A,#N/A,TRUE,"Value Matrix";#N/A,#N/A,TRUE,"Assumptions";#N/A,#N/A,TRUE,"Vacant Space";#N/A,#N/A,TRUE,"2nd Generation";#N/A,#N/A,TRUE,"Existing vs Mkt";#N/A,#N/A,TRUE,"Expiration Schedule";#N/A,#N/A,TRUE,"Expiration Graph ";#N/A,#N/A,TRUE,"Residual - Marketing";#N/A,#N/A,TRUE,"Vacancy Detail"}</definedName>
    <definedName name="wrn.Final._.Output." hidden="1">{#N/A,#N/A,FALSE,"Final Output"}</definedName>
    <definedName name="wrn.financial._.package." hidden="1">{#N/A,#N/A,FALSE,"BALANCE SHEET";#N/A,#N/A,FALSE,"IS";#N/A,#N/A,FALSE,"ISCOMPAR";#N/A,#N/A,FALSE,"ADD RETMAR";#N/A,#N/A,FALSE,"VARIOUS COMP";#N/A,#N/A,FALSE,"RATIOS";#N/A,#N/A,FALSE,"GRAPHS"}</definedName>
    <definedName name="wrn.First._.3._.Years._.All._.Sheets." hidden="1">{#N/A,#N/A,FALSE,"BaseAssumptions";"MasterCostAssmp_3 Yrs",#N/A,FALSE,"MasterCostAssmp";#N/A,#N/A,FALSE,"InTractCstAssmp";"LotTakedowns_3 Yrs",#N/A,FALSE,"LotTakedowns";"CashFlowSummary_3 Yrs",#N/A,FALSE,"CashFlowSummary";"FlowSummary_3 Yrs",#N/A,FALSE,"FlowSummary";"SourcesAndUses_3 Yrs",#N/A,FALSE,"SourcesAndUses";"CashDistribute_3 Yrs",#N/A,FALSE,"CashDistribute";"InvestorSummary_3 Yrs",#N/A,FALSE,"InvestorSummary";"AcqDev Loan_3 Yrs",#N/A,FALSE,"AcqDev Loan";#N/A,#N/A,FALSE,"Finance Summary";#N/A,#N/A,FALSE,"Valuation"}</definedName>
    <definedName name="wrn.Fixed._.Rate._.Bonds." hidden="1">{"Fixed Rate Bonds",#N/A,FALSE,"Fixed"}</definedName>
    <definedName name="wrn.Fortress._1" hidden="1">{"Summary",#N/A,TRUE,"Sheet1";"Sens",#N/A,TRUE,"Sheet1";"Valuation Summary",#N/A,TRUE,"Sheet1";"Cash Flows and Value",#N/A,TRUE,"Sheet1";"DCF and Yield",#N/A,TRUE,"Sheet1";"JV Structure",#N/A,TRUE,"Sheet1";"Partnership Summary and Cash",#N/A,TRUE,"Sheet1";"Partnership Distributions 1",#N/A,TRUE,"Sheet1";"Partnership Distributions 2",#N/A,TRUE,"Sheet1";"CP Investment Return",#N/A,TRUE,"Sheet1";"Cash Flows Full",#N/A,TRUE,"Sheet2";"Assumptions",#N/A,TRUE,"Sheet1";"RR 1",#N/A,TRUE,"Rent Roll";"RR 2",#N/A,TRUE,"Rent Roll";"RR 3",#N/A,TRUE,"Rent Roll";"RR 4",#N/A,TRUE,"Rent Roll";"RR 5",#N/A,TRUE,"Rent Roll";"RR 6",#N/A,TRUE,"Rent Roll"}</definedName>
    <definedName name="wrn.Fortress._2" hidden="1">{"Summary",#N/A,TRUE,"Sheet1";"Sens",#N/A,TRUE,"Sheet1";"Valuation Summary",#N/A,TRUE,"Sheet1";"Cash Flows and Value",#N/A,TRUE,"Sheet1";"DCF and Yield",#N/A,TRUE,"Sheet1";"JV Structure",#N/A,TRUE,"Sheet1";"Partnership Summary and Cash",#N/A,TRUE,"Sheet1";"Partnership Distributions 1",#N/A,TRUE,"Sheet1";"Partnership Distributions 2",#N/A,TRUE,"Sheet1";"CP Investment Return",#N/A,TRUE,"Sheet1";"Cash Flows Full",#N/A,TRUE,"Sheet2";"Assumptions",#N/A,TRUE,"Sheet1";"RR 1",#N/A,TRUE,"Rent Roll";"RR 2",#N/A,TRUE,"Rent Roll";"RR 3",#N/A,TRUE,"Rent Roll";"RR 4",#N/A,TRUE,"Rent Roll";"RR 5",#N/A,TRUE,"Rent Roll";"RR 6",#N/A,TRUE,"Rent Roll"}</definedName>
    <definedName name="wrn.Fortress._3" hidden="1">{"Summary",#N/A,TRUE,"Sheet1";"Sens",#N/A,TRUE,"Sheet1";"Valuation Summary",#N/A,TRUE,"Sheet1";"Cash Flows and Value",#N/A,TRUE,"Sheet1";"DCF and Yield",#N/A,TRUE,"Sheet1";"JV Structure",#N/A,TRUE,"Sheet1";"Partnership Summary and Cash",#N/A,TRUE,"Sheet1";"Partnership Distributions 1",#N/A,TRUE,"Sheet1";"Partnership Distributions 2",#N/A,TRUE,"Sheet1";"CP Investment Return",#N/A,TRUE,"Sheet1";"Cash Flows Full",#N/A,TRUE,"Sheet2";"Assumptions",#N/A,TRUE,"Sheet1";"RR 1",#N/A,TRUE,"Rent Roll";"RR 2",#N/A,TRUE,"Rent Roll";"RR 3",#N/A,TRUE,"Rent Roll";"RR 4",#N/A,TRUE,"Rent Roll";"RR 5",#N/A,TRUE,"Rent Roll";"RR 6",#N/A,TRUE,"Rent Roll"}</definedName>
    <definedName name="wrn.FRI._1" hidden="1">{"Cover",#N/A,TRUE,"Sheet1";"2. Value",#N/A,TRUE,"Sheet1";"Sensitivities",#N/A,TRUE,"Sheet1";"3. Porfolio CF",#N/A,TRUE,"Sheet1";"4. NCF",#N/A,TRUE,"Sheet1";"5. DCF",#N/A,TRUE,"Sheet1";"6. Partnership Dist",#N/A,TRUE,"Sheet1";"7. MIR Splits",#N/A,TRUE,"Sheet1";"Assumptions",#N/A,TRUE,"Sheet1"}</definedName>
    <definedName name="wrn.FRI._2" hidden="1">{"Cover",#N/A,TRUE,"Sheet1";"2. Value",#N/A,TRUE,"Sheet1";"Sensitivities",#N/A,TRUE,"Sheet1";"3. Porfolio CF",#N/A,TRUE,"Sheet1";"4. NCF",#N/A,TRUE,"Sheet1";"5. DCF",#N/A,TRUE,"Sheet1";"6. Partnership Dist",#N/A,TRUE,"Sheet1";"7. MIR Splits",#N/A,TRUE,"Sheet1";"Assumptions",#N/A,TRUE,"Sheet1"}</definedName>
    <definedName name="wrn.FRI._3" hidden="1">{"Cover",#N/A,TRUE,"Sheet1";"2. Value",#N/A,TRUE,"Sheet1";"Sensitivities",#N/A,TRUE,"Sheet1";"3. Porfolio CF",#N/A,TRUE,"Sheet1";"4. NCF",#N/A,TRUE,"Sheet1";"5. DCF",#N/A,TRUE,"Sheet1";"6. Partnership Dist",#N/A,TRUE,"Sheet1";"7. MIR Splits",#N/A,TRUE,"Sheet1";"Assumptions",#N/A,TRUE,"Sheet1"}</definedName>
    <definedName name="wrn.Full._.Print." hidden="1">{"Input Assumptions",#N/A,FALSE,"Summary";"Return Sensitivities",#N/A,FALSE,"Summary";"Project CF &amp; Debt",#N/A,FALSE,"Summary";"Unit Sale Summary",#N/A,FALSE,"Summary";"Sellout Summary",#N/A,FALSE,"Sellout";"Project Pro Forma",#N/A,FALSE,"Summary";"Apt Rental Revenue",#N/A,FALSE,"Summary"}</definedName>
    <definedName name="wrn.Full._.Report._1" hidden="1">{"Summary",#N/A,TRUE,"Debt Model";"Sensitivity",#N/A,TRUE,"Debt Model";"Valuation/Asset Cash Flow",#N/A,TRUE,"Debt Model";"Partnership Cash Flow",#N/A,TRUE,"Debt Model";"Equity Value/DCF",#N/A,TRUE,"Debt Model";"Debt Summary",#N/A,TRUE,"Debt Model";"Madison Cash Flow/FX",#N/A,TRUE,"Debt Model";"Promote 1 - Diez",#N/A,TRUE,"Debt Model";"Promote 2 - Diez",#N/A,TRUE,"Debt Model";"Promote 3 - Diez",#N/A,TRUE,"Debt Model"}</definedName>
    <definedName name="wrn.Full._.Report._2" hidden="1">{"Summary",#N/A,TRUE,"Debt Model";"Sensitivity",#N/A,TRUE,"Debt Model";"Valuation/Asset Cash Flow",#N/A,TRUE,"Debt Model";"Partnership Cash Flow",#N/A,TRUE,"Debt Model";"Equity Value/DCF",#N/A,TRUE,"Debt Model";"Debt Summary",#N/A,TRUE,"Debt Model";"Madison Cash Flow/FX",#N/A,TRUE,"Debt Model";"Promote 1 - Diez",#N/A,TRUE,"Debt Model";"Promote 2 - Diez",#N/A,TRUE,"Debt Model";"Promote 3 - Diez",#N/A,TRUE,"Debt Model"}</definedName>
    <definedName name="wrn.Full._.Report._3" hidden="1">{"Summary",#N/A,TRUE,"Debt Model";"Sensitivity",#N/A,TRUE,"Debt Model";"Valuation/Asset Cash Flow",#N/A,TRUE,"Debt Model";"Partnership Cash Flow",#N/A,TRUE,"Debt Model";"Equity Value/DCF",#N/A,TRUE,"Debt Model";"Debt Summary",#N/A,TRUE,"Debt Model";"Madison Cash Flow/FX",#N/A,TRUE,"Debt Model";"Promote 1 - Diez",#N/A,TRUE,"Debt Model";"Promote 2 - Diez",#N/A,TRUE,"Debt Model";"Promote 3 - Diez",#N/A,TRUE,"Debt Model"}</definedName>
    <definedName name="wrn.Full_Template." hidden="1">{#N/A,#N/A,FALSE,"1Summary";#N/A,#N/A,FALSE,"2Assumptions";#N/A,#N/A,FALSE,"3Cash Flow";#N/A,#N/A,FALSE,"4Return of Investment Chart";#N/A,#N/A,FALSE,"5Year 1 Reconciliation";#N/A,#N/A,FALSE,"6Residual";#N/A,#N/A,FALSE,"7Pricing Matrix";#N/A,#N/A,FALSE,"8Vacancy Matrix";#N/A,#N/A,FALSE,"9Vacancy Chart";#N/A,#N/A,FALSE,"AExpiration Schedule";#N/A,#N/A,FALSE,"BExpiration Chart";#N/A,#N/A,FALSE,"CLease-up Schedule";#N/A,#N/A,FALSE,"DWeighted Average Calculation"}</definedName>
    <definedName name="wrn.Fundus._.33._1" hidden="1">{"Summary",#N/A,TRUE,"Fond 33";"Sensitivity",#N/A,TRUE,"Fond 33";"Discount Metrics",#N/A,TRUE,"Fond 33";"Partnership Valuation Summary",#N/A,TRUE,"Fond 33";"Cash Flows",#N/A,TRUE,"Fond 33";"Partnership Net Cash Balance",#N/A,TRUE,"Fond 33";"Equity, DCF &amp; Yield",#N/A,TRUE,"Fond 33";"Partnership Distributions",#N/A,TRUE,"Fond 33";"Splits",#N/A,TRUE,"Fond 33";"MIR Distributions",#N/A,TRUE,"Fond 33";"Assumptions",#N/A,TRUE,"Fond 33"}</definedName>
    <definedName name="wrn.Fundus._.33._2" hidden="1">{"Summary",#N/A,TRUE,"Fond 33";"Sensitivity",#N/A,TRUE,"Fond 33";"Discount Metrics",#N/A,TRUE,"Fond 33";"Partnership Valuation Summary",#N/A,TRUE,"Fond 33";"Cash Flows",#N/A,TRUE,"Fond 33";"Partnership Net Cash Balance",#N/A,TRUE,"Fond 33";"Equity, DCF &amp; Yield",#N/A,TRUE,"Fond 33";"Partnership Distributions",#N/A,TRUE,"Fond 33";"Splits",#N/A,TRUE,"Fond 33";"MIR Distributions",#N/A,TRUE,"Fond 33";"Assumptions",#N/A,TRUE,"Fond 33"}</definedName>
    <definedName name="wrn.Fundus._.33._3" hidden="1">{"Summary",#N/A,TRUE,"Fond 33";"Sensitivity",#N/A,TRUE,"Fond 33";"Discount Metrics",#N/A,TRUE,"Fond 33";"Partnership Valuation Summary",#N/A,TRUE,"Fond 33";"Cash Flows",#N/A,TRUE,"Fond 33";"Partnership Net Cash Balance",#N/A,TRUE,"Fond 33";"Equity, DCF &amp; Yield",#N/A,TRUE,"Fond 33";"Partnership Distributions",#N/A,TRUE,"Fond 33";"Splits",#N/A,TRUE,"Fond 33";"MIR Distributions",#N/A,TRUE,"Fond 33";"Assumptions",#N/A,TRUE,"Fond 33"}</definedName>
    <definedName name="wrn.Golf._.Summary." hidden="1">{"View1",#N/A,FALSE,"Golf";"View2",#N/A,FALSE,"Golf";"View3",#N/A,FALSE,"Golf";"View4",#N/A,FALSE,"Golf";"View5",#N/A,FALSE,"Golf";"View6",#N/A,FALSE,"Golf";"View7",#N/A,FALSE,"Golf";"View8",#N/A,FALSE,"Golf";"View9",#N/A,FALSE,"Golf";"View10",#N/A,FALSE,"Golf";"View11",#N/A,FALSE,"Golf";"View12",#N/A,FALSE,"Golf"}</definedName>
    <definedName name="wrn.GRAPHS." hidden="1">{#N/A,#N/A,FALSE,"ACQ_GRAPHS";#N/A,#N/A,FALSE,"T_1 GRAPHS";#N/A,#N/A,FALSE,"T_2 GRAPHS";#N/A,#N/A,FALSE,"COMB_GRAPHS"}</definedName>
    <definedName name="wrn.Hold._.Sell." hidden="1">{#N/A,#N/A,FALSE,"13Residual 2007";#N/A,#N/A,FALSE,"14Residual 2008";#N/A,#N/A,FALSE,"15Residual 2009";#N/A,#N/A,FALSE,"16Residual 2010";#N/A,#N/A,FALSE,"17Residual 2011";#N/A,#N/A,FALSE,"18Hold Disposition Matrix";#N/A,#N/A,FALSE,"19Other Disposition Matrix"}</definedName>
    <definedName name="wrn.Income._.Statements." hidden="1">{#N/A,#N/A,FALSE,"Consol CF";#N/A,#N/A,FALSE,"matx B4 DS";#N/A,#N/A,FALSE,"Hacienda CF";#N/A,#N/A,FALSE,"matx B4 DS Hac";#N/A,#N/A,FALSE,"Chabot CF";#N/A,#N/A,FALSE,"matx B4 DS Chabot";#N/A,#N/A,FALSE,"Diablo CF";#N/A,#N/A,FALSE,"matx B4 DS Diablo";#N/A,#N/A,FALSE,"HAC2-CF";#N/A,#N/A,FALSE,"HAC3-CF";#N/A,#N/A,FALSE,"HAC4-CF";#N/A,#N/A,FALSE,"HAC5-CF";#N/A,#N/A,FALSE,"HAC6-CF";#N/A,#N/A,FALSE,"HAC7-CF";#N/A,#N/A,FALSE,"HAC8-CF";#N/A,#N/A,FALSE,"HAC9-CF";#N/A,#N/A,FALSE,"HA10-CF"}</definedName>
    <definedName name="wrn.Inputs." hidden="1">{"Inputs",#N/A,FALSE,"Inputs"}</definedName>
    <definedName name="wrn.Köln._.Model._1" hidden="1">{"Summary",#N/A,TRUE,"Model";"Discount Metrics",#N/A,TRUE,"Model";"Partnership Valuation Summary",#N/A,TRUE,"Model";"Sensitivity",#N/A,TRUE,"Model";"Cash Flows",#N/A,TRUE,"Model";"Partnership Equity Value",#N/A,TRUE,"Model";"Equity/DCF/Yield",#N/A,TRUE,"Model";"Distributions/Interest Leverage",#N/A,TRUE,"Model";"Splits",#N/A,TRUE,"Model";"Assumptions",#N/A,TRUE,"Model"}</definedName>
    <definedName name="wrn.Köln._.Model._2" hidden="1">{"Summary",#N/A,TRUE,"Model";"Discount Metrics",#N/A,TRUE,"Model";"Partnership Valuation Summary",#N/A,TRUE,"Model";"Sensitivity",#N/A,TRUE,"Model";"Cash Flows",#N/A,TRUE,"Model";"Partnership Equity Value",#N/A,TRUE,"Model";"Equity/DCF/Yield",#N/A,TRUE,"Model";"Distributions/Interest Leverage",#N/A,TRUE,"Model";"Splits",#N/A,TRUE,"Model";"Assumptions",#N/A,TRUE,"Model"}</definedName>
    <definedName name="wrn.Köln._.Model._3" hidden="1">{"Summary",#N/A,TRUE,"Model";"Discount Metrics",#N/A,TRUE,"Model";"Partnership Valuation Summary",#N/A,TRUE,"Model";"Sensitivity",#N/A,TRUE,"Model";"Cash Flows",#N/A,TRUE,"Model";"Partnership Equity Value",#N/A,TRUE,"Model";"Equity/DCF/Yield",#N/A,TRUE,"Model";"Distributions/Interest Leverage",#N/A,TRUE,"Model";"Splits",#N/A,TRUE,"Model";"Assumptions",#N/A,TRUE,"Model"}</definedName>
    <definedName name="wrn.Land._.Takedown._.Summary." hidden="1">{"land1",#N/A,FALSE,"Land";"land2",#N/A,FALSE,"Land";"land3",#N/A,FALSE,"Land"}</definedName>
    <definedName name="wrn.Latent._.Demand._.Inputs." hidden="1">{#N/A,#N/A,FALSE,"Latent"}</definedName>
    <definedName name="wrn.Leasing._.Variance." hidden="1">{#N/A,#N/A,FALSE,"Leasing 6A"}</definedName>
    <definedName name="wrn.Lichtin._.Summary._1" hidden="1">{"Summary for Lichtin",#N/A,FALSE,"Value Summary"}</definedName>
    <definedName name="wrn.Lichtin._.Summary._2" hidden="1">{"Summary for Lichtin",#N/A,FALSE,"Value Summary"}</definedName>
    <definedName name="wrn.Lichtin._.Summary._3" hidden="1">{"Summary for Lichtin",#N/A,FALSE,"Value Summary"}</definedName>
    <definedName name="wrn.LoanInformation." hidden="1">{#N/A,#N/A,FALSE,"LoanAssumptions"}</definedName>
    <definedName name="wrn.Lot._.Inventory." hidden="1">{"lot inventory",#N/A,FALSE,"Lot List"}</definedName>
    <definedName name="wrn.Lot._.Summary." hidden="1">{"Lot Prices",#N/A,FALSE,"LOTS-PRICING";"lot1",#N/A,FALSE,"Lots";"lot2",#N/A,FALSE,"Lots";"Lot3",#N/A,FALSE,"Lots";"lot4",#N/A,FALSE,"Lots";"lot5",#N/A,FALSE,"Lots";"lot6",#N/A,FALSE,"Lots";"lot7",#N/A,FALSE,"Lots";"lot8",#N/A,FALSE,"Lots";"lot9",#N/A,FALSE,"Lots";"lot10",#N/A,FALSE,"Lots";"lot11",#N/A,FALSE,"Lots";"lot12",#N/A,FALSE,"Lots"}</definedName>
    <definedName name="wrn.Lower._.Tier._.Analysis." hidden="1">{#N/A,#N/A,FALSE,"Summary";#N/A,#N/A,FALSE,"Sources and Uses";#N/A,#N/A,FALSE,"Qualified Basis";#N/A,#N/A,FALSE,"Rent and Unit Mix";#N/A,#N/A,FALSE,"Stabilized";#N/A,#N/A,FALSE,"Proforma Operations";#N/A,#N/A,FALSE,"Lease-Up";#N/A,#N/A,FALSE,"Tax Credit Analysis";#N/A,#N/A,FALSE,"Buyer's IRR";#N/A,#N/A,FALSE,"EP&amp;TCS";#N/A,#N/A,FALSE,"Min. Gain Calc."}</definedName>
    <definedName name="wrn.LTV._.Output." hidden="1">{"LTV Output",#N/A,FALSE,"Output"}</definedName>
    <definedName name="wrn.Market._.Values." hidden="1">{#N/A,#N/A,TRUE,"10 Yr Hold";#N/A,#N/A,TRUE,"7 Yr Hold";#N/A,#N/A,TRUE,"5 Yr Hold";#N/A,#N/A,TRUE,"3 Yr Hold"}</definedName>
    <definedName name="wrn.Marketing." hidden="1">{#N/A,#N/A,FALSE,"2Assumptions";#N/A,#N/A,FALSE,"3Cash Flow";#N/A,#N/A,FALSE,"I&amp;E";#N/A,#N/A,FALSE,"I&amp;E (2)";#N/A,#N/A,FALSE,"10Vacancy Matrix";#N/A,#N/A,FALSE,"11Expiration Schedule"}</definedName>
    <definedName name="wrn.MATRICES._.and._.CFs." hidden="1">{#N/A,#N/A,FALSE,"Assumptions";#N/A,#N/A,FALSE,"Consol CF";#N/A,#N/A,FALSE,"matx B4 DS";#N/A,#N/A,FALSE,"Hacienda CF";#N/A,#N/A,FALSE,"matx B4 DS Hac";#N/A,#N/A,FALSE,"Chabot CF";#N/A,#N/A,FALSE,"matx B4 DS Chabot";#N/A,#N/A,FALSE,"Diablo CF";#N/A,#N/A,FALSE,"matx B4 DS Diablo"}</definedName>
    <definedName name="wrn.MIRELF._.III._1" hidden="1">{"Summary",#N/A,TRUE,"Summary";"Sensitivity",#N/A,TRUE,"Summary";"Partnership Value",#N/A,TRUE,"Summary";"Cash Flows",#N/A,TRUE,"Summary";"Partnership Equity Value",#N/A,TRUE,"Summary";"Waterfall",#N/A,TRUE,"Summary";"MIR Fund Structure",#N/A,TRUE,"Summary";"Assumptions",#N/A,TRUE,"Summary"}</definedName>
    <definedName name="wrn.MIRELF._.III._2" hidden="1">{"Summary",#N/A,TRUE,"Summary";"Sensitivity",#N/A,TRUE,"Summary";"Partnership Value",#N/A,TRUE,"Summary";"Cash Flows",#N/A,TRUE,"Summary";"Partnership Equity Value",#N/A,TRUE,"Summary";"Waterfall",#N/A,TRUE,"Summary";"MIR Fund Structure",#N/A,TRUE,"Summary";"Assumptions",#N/A,TRUE,"Summary"}</definedName>
    <definedName name="wrn.MIRELF._.III._3" hidden="1">{"Summary",#N/A,TRUE,"Summary";"Sensitivity",#N/A,TRUE,"Summary";"Partnership Value",#N/A,TRUE,"Summary";"Cash Flows",#N/A,TRUE,"Summary";"Partnership Equity Value",#N/A,TRUE,"Summary";"Waterfall",#N/A,TRUE,"Summary";"MIR Fund Structure",#N/A,TRUE,"Summary";"Assumptions",#N/A,TRUE,"Summary"}</definedName>
    <definedName name="wrn.monthly._.financial." hidden="1">{#N/A,#N/A,FALSE,"SUMMARY 4a";#N/A,#N/A,FALSE,"GBA 4b";#N/A,#N/A,FALSE,"TENANT 4c";#N/A,#N/A,FALSE,"BUDGET DETAIL";#N/A,#N/A,FALSE,"PRO FORMA"}</definedName>
    <definedName name="wrn.MonthlyRentRoll." hidden="1">{"MonthlyRentRoll",#N/A,FALSE,"RentRoll"}</definedName>
    <definedName name="wrn.New._.Report." hidden="1">{"Portfolio Analysis",#N/A,FALSE,"Portfolio Analysis";"Asset 1",#N/A,FALSE,"Portfolio Analysis";"Asset 2",#N/A,FALSE,"Portfolio Analysis";"Asset 3",#N/A,FALSE,"Portfolio Analysis";"Rent Roll 1",#N/A,FALSE,"Portfolio Analysis";"Rent Roll 2",#N/A,FALSE,"Portfolio Analysis";"Rent Roll 3",#N/A,FALSE,"Portfolio Analysis"}</definedName>
    <definedName name="wrn.Nico." hidden="1">{#N/A,#N/A,TRUE,"Cover";#N/A,#N/A,TRUE,"Transaction Summary";#N/A,#N/A,TRUE,"Earnings Impact";#N/A,#N/A,TRUE,"accretion dilution"}</definedName>
    <definedName name="wrn.NS._1" hidden="1">{"NS #1",#N/A,TRUE,"Model";"NS #2",#N/A,TRUE,"Model";"NS #3",#N/A,TRUE,"Model"}</definedName>
    <definedName name="wrn.NS._2" hidden="1">{"NS #1",#N/A,TRUE,"Model";"NS #2",#N/A,TRUE,"Model";"NS #3",#N/A,TRUE,"Model"}</definedName>
    <definedName name="wrn.NS._3" hidden="1">{"NS #1",#N/A,TRUE,"Model";"NS #2",#N/A,TRUE,"Model";"NS #3",#N/A,TRUE,"Model"}</definedName>
    <definedName name="wrn.Occupancy._.Calcs." hidden="1">{#N/A,#N/A,FALSE,"Occ. Calcs"}</definedName>
    <definedName name="wrn.ontario." hidden="1">{"page1",#N/A,FALSE,"sheet 1";"Page2",#N/A,FALSE,"sheet 1";"page3",#N/A,FALSE,"sheet 1";"page4",#N/A,FALSE,"sheet 1"}</definedName>
    <definedName name="wrn.OperatingAssumtions." hidden="1">{#N/A,#N/A,FALSE,"OperatingAssumptions"}</definedName>
    <definedName name="wrn.Output3Column." hidden="1">{"Output-3Column",#N/A,FALSE,"Output"}</definedName>
    <definedName name="wrn.OutputAll." hidden="1">{"Output-All",#N/A,FALSE,"Output"}</definedName>
    <definedName name="wrn.OutputBaseYear." hidden="1">{"Output-BaseYear",#N/A,FALSE,"Output"}</definedName>
    <definedName name="wrn.OutputMin." hidden="1">{"Output-Min",#N/A,FALSE,"Output"}</definedName>
    <definedName name="wrn.OutputPercent." hidden="1">{"Output%",#N/A,FALSE,"Output"}</definedName>
    <definedName name="wrn.p3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wrn.Package." hidden="1">{#N/A,#N/A,FALSE,"Executive Summary";#N/A,#N/A,FALSE,"Assumptions";#N/A,#N/A,FALSE,"Cash Flow";#N/A,#N/A,FALSE,"I&amp;E ";#N/A,#N/A,FALSE,"Occupancy Cost";#N/A,#N/A,FALSE,"Vacancy (Mall)";#N/A,#N/A,FALSE,"Expiration Schedule";#N/A,#N/A,FALSE,"Expiration Graph ";#N/A,#N/A,FALSE,"sales graph";#N/A,#N/A,FALSE,"Vacant rents";#N/A,#N/A,FALSE,"Hist Sales";#N/A,#N/A,FALSE,"Monthly Sales";#N/A,#N/A,FALSE,"Rent Roll"}</definedName>
    <definedName name="wrn.Partial." hidden="1">{#N/A,#N/A,FALSE,"1Summary";#N/A,#N/A,FALSE,"Assumptions";#N/A,#N/A,FALSE,"Rent Roll Summary";#N/A,#N/A,FALSE,"Effective Rental Income Detail";#N/A,#N/A,FALSE,"Cash Flow Projections";#N/A,#N/A,FALSE,"Operating Statement";#N/A,#N/A,FALSE,"Pricing Matrix"}</definedName>
    <definedName name="wrn.Partial_Template." hidden="1">{#N/A,#N/A,FALSE,"1Summary";#N/A,#N/A,FALSE,"2Assumptions";#N/A,#N/A,FALSE,"3Cash Flow";#N/A,#N/A,FALSE,"6Residual";#N/A,#N/A,FALSE,"AExpiration Schedule"}</definedName>
    <definedName name="wrn.Penetration." hidden="1">{#N/A,#N/A,FALSE,"Mkt Pen"}</definedName>
    <definedName name="wrn.PHA._.Proformas." hidden="1">{"Proforma - 10y PHA All","all PHA",FALSE,"PHA Proformas";"Proforma - 10yr PHA op sub","op sub",FALSE,"PHA Proformas";"Proforma - 10yr cap only","cap only",FALSE,"PHA Proformas"}</definedName>
    <definedName name="wrn.Portfolio." hidden="1">{#N/A,#N/A,FALSE,"Portfolio Summary";#N/A,#N/A,FALSE,"Portfolio Operating Stmt";#N/A,#N/A,FALSE,"Portfolio Cash Flow"}</definedName>
    <definedName name="wrn.PR_TRIAL_BALANCE.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wrn.Presentation." hidden="1">{#N/A,#N/A,TRUE,"Summary";"AnnualRentRoll",#N/A,TRUE,"RentRoll";#N/A,#N/A,TRUE,"ExitStratigy";#N/A,#N/A,TRUE,"OperatingAssumptions"}</definedName>
    <definedName name="wrn.Pricing._.Strategy." hidden="1">{#N/A,#N/A,FALSE,"1Summary";#N/A,#N/A,FALSE,"2Assumptions";#N/A,#N/A,FALSE,"3Cash Flow";#N/A,#N/A,FALSE,"4Year 1 Reconciliation";#N/A,#N/A,FALSE,"5Residual";#N/A,#N/A,FALSE,"6Residual (Year 20)";#N/A,#N/A,FALSE,"7Financing Sensitivity";#N/A,#N/A,FALSE,"8Residual Sensitivity";#N/A,#N/A,FALSE,"9Pricing Matrix";#N/A,#N/A,FALSE,"10Vacancy Matrix";#N/A,#N/A,FALSE,"11Expiration Schedule";#N/A,#N/A,FALSE,"12Lease-up Schedule"}</definedName>
    <definedName name="wrn.Primary._.Competition." hidden="1">{#N/A,#N/A,FALSE,"Primary"}</definedName>
    <definedName name="wrn.Print." hidden="1">{#N/A,#N/A,TRUE,"Cover";#N/A,#N/A,TRUE,"Stack";#N/A,#N/A,TRUE,"Cost S";#N/A,#N/A,TRUE,"Financing";#N/A,#N/A,TRUE," CF";#N/A,#N/A,TRUE,"CF Mnthly";#N/A,#N/A,TRUE,"CF assum";#N/A,#N/A,TRUE,"Unit Sales";#N/A,#N/A,TRUE,"REV";#N/A,#N/A,TRUE,"Bdgt Backup"}</definedName>
    <definedName name="wrn.Print._.4." hidden="1">{"Outflow 1",#N/A,FALSE,"Outflows-Inflows";"Outflow 2",#N/A,FALSE,"Outflows-Inflows";"Inflow 1",#N/A,FALSE,"Outflows-Inflows";"Inflow 2",#N/A,FALSE,"Outflows-Inflows"}</definedName>
    <definedName name="wrn.Print._.6." hidden="1">{"print 1.6",#N/A,FALSE,"Sheet1";"print 2.6",#N/A,FALSE,"Sheet1";"print 3.6",#N/A,FALSE,"Sheet1";"print 4.6",#N/A,FALSE,"Sheet1";"print 5.6",#N/A,FALSE,"Sheet1";"print 6.6",#N/A,FALSE,"Sheet1"}</definedName>
    <definedName name="wrn.Print._.All." hidden="1">{"Regency",#N/A,FALSE,"Consolidated";"Laurel",#N/A,FALSE,"Consolidated";"Consolidated Unlevered",#N/A,FALSE,"Consolidated";"Consolidated Levered",#N/A,FALSE,"Consolidated"}</definedName>
    <definedName name="wrn.Print._.Entire._.Workbook." hidden="1">{"Assumptions",#N/A,TRUE,"Assumptions";"qtrl1",#N/A,TRUE,"Annual Summary";"qtrl2",#N/A,TRUE,"Annual Summary";"qtrl3",#N/A,TRUE,"Annual Summary";"qtrl4",#N/A,TRUE,"QTLY Summary";"qtrl5",#N/A,TRUE,"QTLY Summary";"qtrl6",#N/A,TRUE,"QTLY Summary";"Lot Prices",#N/A,TRUE,"Annual Summary";"Construction Costs",#N/A,TRUE,"Annual Summary";"land1",#N/A,TRUE,"Annual Summary";"land2",#N/A,TRUE,"Annual Summary";"land3",#N/A,TRUE,"Annual Summary";"lot1",#N/A,TRUE,"Annual Summary";"lot2",#N/A,TRUE,"Annual Summary";"Lot3",#N/A,TRUE,"Annual Summary";"lot4",#N/A,TRUE,"Annual Summary";"lot5",#N/A,TRUE,"Annual Summary";"lot6",#N/A,TRUE,"Annual Summary";"lot7",#N/A,TRUE,"Annual Summary";"lot8",#N/A,TRUE,"Annual Summary";"lot9",#N/A,TRUE,"Annual Summary";"lot10",#N/A,TRUE,"Annual Summary";"lot11",#N/A,TRUE,"Annual Summary";"lot12",#N/A,TRUE,"Annual Summary";"lot inventory",#N/A,TRUE,"Annual Summary";"scen1",#N/A,TRUE,"Annual Summary";"scen2",#N/A,TRUE,"Annual Summary";"View1",#N/A,TRUE,"Annual Summary";"View2",#N/A,TRUE,"Annual Summary";"View3",#N/A,TRUE,"Annual Summary";"View4",#N/A,TRUE,"Annual Summary";"View5",#N/A,TRUE,"Annual Summary";"View6",#N/A,TRUE,"Annual Summary";"View7",#N/A,TRUE,"Annual Summary";"View8",#N/A,TRUE,"Annual Summary";"View9",#N/A,TRUE,"Annual Summary";"View10",#N/A,TRUE,"Annual Summary";"View11",#N/A,TRUE,"Annual Summary";"View12",#N/A,TRUE,"Annual Summary";"cot1",#N/A,TRUE,"Annual Summary";"cot2",#N/A,TRUE,"Annual Summary";"cot3",#N/A,TRUE,"Annual Summary"}</definedName>
    <definedName name="wrn.Print._.Summary." hidden="1">{"Consolidated Unlevered",#N/A,FALSE,"Consolidated";"Consolidated Levered",#N/A,FALSE,"Consolidated"}</definedName>
    <definedName name="wrn.Print._.Workbook." hidden="1">{#N/A,#N/A,FALSE,"Exec. Summ";#N/A,#N/A,FALSE,"Income";#N/A,#N/A,FALSE,"Expenses";#N/A,#N/A,FALSE,"Loan Options";#N/A,#N/A,FALSE,"Sources &amp; Uses";#N/A,#N/A,FALSE,"Spreadsheet"}</definedName>
    <definedName name="wrn.PrintAll." hidden="1">{#N/A,#N/A,FALSE,"Broker Sheet";#N/A,#N/A,FALSE,"Exec.Summary";#N/A,#N/A,FALSE,"Argus Cash Flow";#N/A,#N/A,FALSE,"SPF";#N/A,#N/A,FALSE,"RentRoll"}</definedName>
    <definedName name="wrn.Proforma." hidden="1">{#N/A,#N/A,TRUE,"Summary";#N/A,#N/A,TRUE,"InPlace";#N/A,#N/A,TRUE,"Stable";#N/A,#N/A,TRUE,"RentRoll";#N/A,#N/A,TRUE,"I&amp;E";#N/A,#N/A,TRUE,"Expense Detail";#N/A,#N/A,TRUE,"CAM Recov(InPlace)";#N/A,#N/A,TRUE,"CAM Recov(Stable)";#N/A,#N/A,TRUE,"Tax Recov";#N/A,#N/A,TRUE,"Expiration";#N/A,#N/A,TRUE,"Sales";#N/A,#N/A,TRUE,"Tax"}</definedName>
    <definedName name="wrn.projection." hidden="1">{#N/A,#N/A,TRUE,"TOC";#N/A,#N/A,TRUE,"GEN";#N/A,#N/A,TRUE,"FINANCING ";#N/A,#N/A,TRUE,"SYND";#N/A,#N/A,TRUE,"RENT";#N/A,#N/A,TRUE,"RENTUP";#N/A,#N/A,TRUE,"CASH";#N/A,#N/A,TRUE,"LOSS";#N/A,#N/A,TRUE,"BENEFITS";#N/A,#N/A,TRUE,"SOURCE";#N/A,#N/A,TRUE,"FLOW";#N/A,#N/A,TRUE,"TAX CREDIT";#N/A,#N/A,TRUE,"DEPREC";#N/A,#N/A,TRUE,"RESERVES";#N/A,#N/A,TRUE,"AMORT_4";#N/A,#N/A,TRUE,"UT SU ";#N/A,#N/A,TRUE,"UT FLOW";#N/A,#N/A,TRUE,"UT BRIDGE LOAN";#N/A,#N/A,TRUE,"UT LOSS";#N/A,#N/A,TRUE,"UT BENEFITS";#N/A,#N/A,TRUE,"UT FUNDED";#N/A,#N/A,TRUE,"SALES1";#N/A,#N/A,TRUE,"SALES2"}</definedName>
    <definedName name="wrn.PropertyInformation." hidden="1">{#N/A,#N/A,FALSE,"PropertyInfo"}</definedName>
    <definedName name="wrn.Pulp." hidden="1">{"Pulp Production",#N/A,FALSE,"Pulp";"Pulp Earnings",#N/A,FALSE,"Pulp"}</definedName>
    <definedName name="wrn.Quarterly._.Summary." hidden="1">{"qtrl1",#N/A,TRUE,"Annual Summary";"qtrl2",#N/A,TRUE,"Annual Summary";"qtrl3",#N/A,TRUE,"Annual Summary";"qtrl4",#N/A,TRUE,"QTLY Summary";"qtrl5",#N/A,TRUE,"QTLY Summary";"qtrl6",#N/A,TRUE,"QTLY Summary"}</definedName>
    <definedName name="wrn.Realis._1" hidden="1">{"Realis Cover",#N/A,TRUE,"Sheet1";"R Value",#N/A,TRUE,"Sheet1";"R Sensitivity",#N/A,TRUE,"Sheet1";"R Prop Cash Flow",#N/A,TRUE,"Property Summary";"R Pship CF",#N/A,TRUE,"Sheet1";"R Equity DCF",#N/A,TRUE,"Sheet1";"R Pship Distributions",#N/A,TRUE,"Sheet1";"R MIR Splits",#N/A,TRUE,"Sheet1";"R Assumptions",#N/A,TRUE,"Sheet1"}</definedName>
    <definedName name="wrn.Realis._2" hidden="1">{"Realis Cover",#N/A,TRUE,"Sheet1";"R Value",#N/A,TRUE,"Sheet1";"R Sensitivity",#N/A,TRUE,"Sheet1";"R Prop Cash Flow",#N/A,TRUE,"Property Summary";"R Pship CF",#N/A,TRUE,"Sheet1";"R Equity DCF",#N/A,TRUE,"Sheet1";"R Pship Distributions",#N/A,TRUE,"Sheet1";"R MIR Splits",#N/A,TRUE,"Sheet1";"R Assumptions",#N/A,TRUE,"Sheet1"}</definedName>
    <definedName name="wrn.Realis._3" hidden="1">{"Realis Cover",#N/A,TRUE,"Sheet1";"R Value",#N/A,TRUE,"Sheet1";"R Sensitivity",#N/A,TRUE,"Sheet1";"R Prop Cash Flow",#N/A,TRUE,"Property Summary";"R Pship CF",#N/A,TRUE,"Sheet1";"R Equity DCF",#N/A,TRUE,"Sheet1";"R Pship Distributions",#N/A,TRUE,"Sheet1";"R MIR Splits",#N/A,TRUE,"Sheet1";"R Assumptions",#N/A,TRUE,"Sheet1"}</definedName>
    <definedName name="wrn.Relevant._.Sections." hidden="1">{#N/A,#N/A,FALSE,"Summary";#N/A,#N/A,FALSE,"Program Scheme";#N/A,#N/A,FALSE,"Assumptions";#N/A,#N/A,FALSE,"Development Budget";#N/A,#N/A,FALSE,"Timing";#N/A,#N/A,FALSE,"Development Costs &amp; Revenues";#N/A,#N/A,FALSE,"Cash Flow to Debt &amp; Equity";#N/A,#N/A,FALSE,"Cash Flow to Athena LP"}</definedName>
    <definedName name="wrn.Report." hidden="1">{#N/A,#N/A,FALSE,"Summary";#N/A,#N/A,FALSE,"Assumptions";#N/A,#N/A,FALSE,"Notes";#N/A,#N/A,FALSE,"Cash Flow";#N/A,#N/A,FALSE,"Eff. Rent Detail";#N/A,#N/A,FALSE,"Residual";#N/A,#N/A,FALSE,"Value Matrix";#N/A,#N/A,FALSE,"Pro Forma";#N/A,#N/A,FALSE,"Historical Op";#N/A,#N/A,FALSE,"Value Comp";#N/A,#N/A,FALSE,"Matrices"}</definedName>
    <definedName name="wrn.Report._1" hidden="1">{"Summary",#N/A,FALSE,"Model";"Partnership Value",#N/A,FALSE,"Model";"Cash Flows",#N/A,FALSE,"Model";"Partnership Equity Value",#N/A,FALSE,"Model";"DCF",#N/A,FALSE,"Model";"Waterfall",#N/A,FALSE,"Model";"MIR Fund Structure",#N/A,FALSE,"Model";"Assumptions",#N/A,FALSE,"Model"}</definedName>
    <definedName name="wrn.Report._2" hidden="1">{"Summary",#N/A,FALSE,"Model";"Partnership Value",#N/A,FALSE,"Model";"Cash Flows",#N/A,FALSE,"Model";"Partnership Equity Value",#N/A,FALSE,"Model";"DCF",#N/A,FALSE,"Model";"Waterfall",#N/A,FALSE,"Model";"MIR Fund Structure",#N/A,FALSE,"Model";"Assumptions",#N/A,FALSE,"Model"}</definedName>
    <definedName name="wrn.Report._3" hidden="1">{"Summary",#N/A,FALSE,"Model";"Partnership Value",#N/A,FALSE,"Model";"Cash Flows",#N/A,FALSE,"Model";"Partnership Equity Value",#N/A,FALSE,"Model";"DCF",#N/A,FALSE,"Model";"Waterfall",#N/A,FALSE,"Model";"MIR Fund Structure",#N/A,FALSE,"Model";"Assumptions",#N/A,FALSE,"Model"}</definedName>
    <definedName name="wrn.Scenario." hidden="1">{"scen1",#N/A,FALSE,"Scenarios";"scen2",#N/A,FALSE,"Scenarios"}</definedName>
    <definedName name="wrn.Secondary._.Competition." hidden="1">{#N/A,#N/A,FALSE,"Secondary"}</definedName>
    <definedName name="wrn.Sensitivities." hidden="1">{"Sensitivities",#N/A,FALSE,"Consolidated"}</definedName>
    <definedName name="wrn.Sensitivity._.Analysis." hidden="1">{"Sensitivity",#N/A,FALSE,"Sensitivity"}</definedName>
    <definedName name="wrn.Short._.Print." hidden="1">{#N/A,#N/A,FALSE,"Cover";#N/A,#N/A,FALSE,"Stack";#N/A,#N/A,FALSE,"Cost S";#N/A,#N/A,FALSE," CF";#N/A,#N/A,FALSE,"Investor"}</definedName>
    <definedName name="wrn.Sources._.and._.Uses." hidden="1">{"Sources and Uses",#N/A,FALSE,"S&amp;U"}</definedName>
    <definedName name="wrn.Standard._.Numbers." hidden="1">{"Sources and Uses",#N/A,FALSE,"S&amp;U";"Summary",#N/A,FALSE,"Summary";"Fixed Rate Bonds",#N/A,FALSE,"Fixed";"VRDB Current Market",#N/A,FALSE,"VRDB-Cur";"VRDB 5 Year Average",#N/A,FALSE,"VRDB-His";"Bank Taxable",#N/A,FALSE,"Bank-Taxable"}</definedName>
    <definedName name="wrn.Standard._.Reports." hidden="1">{#N/A,#N/A,FALSE,"Books";#N/A,#N/A,FALSE,"Barge";#N/A,#N/A,FALSE,"Insurance";#N/A,#N/A,FALSE,"Consolidated"}</definedName>
    <definedName name="wrn.Standard._1" hidden="1">{"Summary",#N/A,TRUE,"Model";"Value",#N/A,TRUE,"Model";"Sensitivity",#N/A,TRUE,"Model";"Discount",#N/A,TRUE,"Model";"Cash Flows",#N/A,TRUE,"Model";"Equity/DCF/Yield",#N/A,TRUE,"Model";"Splits",#N/A,TRUE,"Model";"Promote I",#N/A,TRUE,"Model";"Promote II",#N/A,TRUE,"Model";"Assumptions",#N/A,TRUE,"Model"}</definedName>
    <definedName name="wrn.Standard._2" hidden="1">{"Summary",#N/A,TRUE,"Model";"Value",#N/A,TRUE,"Model";"Sensitivity",#N/A,TRUE,"Model";"Discount",#N/A,TRUE,"Model";"Cash Flows",#N/A,TRUE,"Model";"Equity/DCF/Yield",#N/A,TRUE,"Model";"Splits",#N/A,TRUE,"Model";"Promote I",#N/A,TRUE,"Model";"Promote II",#N/A,TRUE,"Model";"Assumptions",#N/A,TRUE,"Model"}</definedName>
    <definedName name="wrn.Standard._3" hidden="1">{"Summary",#N/A,TRUE,"Model";"Value",#N/A,TRUE,"Model";"Sensitivity",#N/A,TRUE,"Model";"Discount",#N/A,TRUE,"Model";"Cash Flows",#N/A,TRUE,"Model";"Equity/DCF/Yield",#N/A,TRUE,"Model";"Splits",#N/A,TRUE,"Model";"Promote I",#N/A,TRUE,"Model";"Promote II",#N/A,TRUE,"Model";"Assumptions",#N/A,TRUE,"Model"}</definedName>
    <definedName name="wrn.Summary." hidden="1">{#N/A,#N/A,FALSE,"Summary"}</definedName>
    <definedName name="wrn.Summary._.Page." hidden="1">{"Summary",#N/A,FALSE,"Summary"}</definedName>
    <definedName name="wrn.Supply._.Additions." hidden="1">{#N/A,#N/A,FALSE,"Supply Addn"}</definedName>
    <definedName name="wrn.Template." hidden="1">{#N/A,#N/A,FALSE,"1_Executive Summary";#N/A,#N/A,FALSE,"2_Assumptions";#N/A,#N/A,FALSE,"3_Footnotes";#N/A,#N/A,FALSE,"4_Cash Flow";#N/A,#N/A,FALSE,"6_Residual - Marketing";#N/A,#N/A,FALSE,"7_Residual Matrix";#N/A,#N/A,FALSE,"8_Pricing Matrix";#N/A,#N/A,FALSE,"9_Value Matrix";#N/A,#N/A,FALSE,"10_Vacancy Detail";#N/A,#N/A,FALSE,"11_Basic Expiration"}</definedName>
    <definedName name="wrn.test._1" hidden="1">{"coverpage",#N/A,TRUE,"Sheet1";"valuation",#N/A,TRUE,"Sheet1"}</definedName>
    <definedName name="wrn.test._2" hidden="1">{"coverpage",#N/A,TRUE,"Sheet1";"valuation",#N/A,TRUE,"Sheet1"}</definedName>
    <definedName name="wrn.test._3" hidden="1">{"coverpage",#N/A,TRUE,"Sheet1";"valuation",#N/A,TRUE,"Sheet1"}</definedName>
    <definedName name="wrn.Tout._.Sauf._.BG.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wrn.Tycon._.Model." hidden="1">{"rtn",#N/A,FALSE,"RTN";"tables",#N/A,FALSE,"RTN";"cf",#N/A,FALSE,"CF";"stats",#N/A,FALSE,"Stats";"prop",#N/A,FALSE,"Prop"}</definedName>
    <definedName name="wrn.Upstate._.NY._1" hidden="1">{"Summary",#N/A,TRUE,"Main Model";"Sensitivity",#N/A,TRUE,"Main Model";"Partnership Valuation Summary",#N/A,TRUE,"Main Model";"Distributions",#N/A,TRUE,"Main Model";"Cash Flows",#N/A,TRUE,"Main Model";"Partnership Net Cash Flow",#N/A,TRUE,"Main Model";"Partnership Equity Value",#N/A,TRUE,"Main Model";"DCF/Yield",#N/A,TRUE,"Main Model";"JV Structure",#N/A,TRUE,"Main Model";"Splits",#N/A,TRUE,"Main Model";"Discount Metrics",#N/A,TRUE,"Main Model";"Assumptions",#N/A,TRUE,"Main Model";"James Court Cash Flows",#N/A,TRUE,"Main Model";"Maple Manor Cash Flows",#N/A,TRUE,"Main Model";"Timberlane Cash Flows",#N/A,TRUE,"Main Model";"Barbara Manor Cash Flows",#N/A,TRUE,"Main Model";"Chili Gardens Cash Flows",#N/A,TRUE,"Main Model";"Grecian Gardens Cash Flows",#N/A,TRUE,"Main Model";"Northgate Cash Flows",#N/A,TRUE,"Main Model";"Tudor Lane Cash Flows",#N/A,TRUE,"Main Model";"Walden Estates Cash Flows",#N/A,TRUE,"Main Model";"Carriage House Cash Flow",#N/A,TRUE,"Main Model";"Westside Cash Flows",#N/A,TRUE,"Main Model"}</definedName>
    <definedName name="wrn.Upstate._.NY._2" hidden="1">{"Summary",#N/A,TRUE,"Main Model";"Sensitivity",#N/A,TRUE,"Main Model";"Partnership Valuation Summary",#N/A,TRUE,"Main Model";"Distributions",#N/A,TRUE,"Main Model";"Cash Flows",#N/A,TRUE,"Main Model";"Partnership Net Cash Flow",#N/A,TRUE,"Main Model";"Partnership Equity Value",#N/A,TRUE,"Main Model";"DCF/Yield",#N/A,TRUE,"Main Model";"JV Structure",#N/A,TRUE,"Main Model";"Splits",#N/A,TRUE,"Main Model";"Discount Metrics",#N/A,TRUE,"Main Model";"Assumptions",#N/A,TRUE,"Main Model";"James Court Cash Flows",#N/A,TRUE,"Main Model";"Maple Manor Cash Flows",#N/A,TRUE,"Main Model";"Timberlane Cash Flows",#N/A,TRUE,"Main Model";"Barbara Manor Cash Flows",#N/A,TRUE,"Main Model";"Chili Gardens Cash Flows",#N/A,TRUE,"Main Model";"Grecian Gardens Cash Flows",#N/A,TRUE,"Main Model";"Northgate Cash Flows",#N/A,TRUE,"Main Model";"Tudor Lane Cash Flows",#N/A,TRUE,"Main Model";"Walden Estates Cash Flows",#N/A,TRUE,"Main Model";"Carriage House Cash Flow",#N/A,TRUE,"Main Model";"Westside Cash Flows",#N/A,TRUE,"Main Model"}</definedName>
    <definedName name="wrn.Upstate._.NY._3" hidden="1">{"Summary",#N/A,TRUE,"Main Model";"Sensitivity",#N/A,TRUE,"Main Model";"Partnership Valuation Summary",#N/A,TRUE,"Main Model";"Distributions",#N/A,TRUE,"Main Model";"Cash Flows",#N/A,TRUE,"Main Model";"Partnership Net Cash Flow",#N/A,TRUE,"Main Model";"Partnership Equity Value",#N/A,TRUE,"Main Model";"DCF/Yield",#N/A,TRUE,"Main Model";"JV Structure",#N/A,TRUE,"Main Model";"Splits",#N/A,TRUE,"Main Model";"Discount Metrics",#N/A,TRUE,"Main Model";"Assumptions",#N/A,TRUE,"Main Model";"James Court Cash Flows",#N/A,TRUE,"Main Model";"Maple Manor Cash Flows",#N/A,TRUE,"Main Model";"Timberlane Cash Flows",#N/A,TRUE,"Main Model";"Barbara Manor Cash Flows",#N/A,TRUE,"Main Model";"Chili Gardens Cash Flows",#N/A,TRUE,"Main Model";"Grecian Gardens Cash Flows",#N/A,TRUE,"Main Model";"Northgate Cash Flows",#N/A,TRUE,"Main Model";"Tudor Lane Cash Flows",#N/A,TRUE,"Main Model";"Walden Estates Cash Flows",#N/A,TRUE,"Main Model";"Carriage House Cash Flow",#N/A,TRUE,"Main Model";"Westside Cash Flows",#N/A,TRUE,"Main Model"}</definedName>
    <definedName name="wrn.USSC_Reports." hidden="1">{#N/A,#N/A,FALSE,"9Pricing Matrix";#N/A,#N/A,FALSE,"1Summary";#N/A,#N/A,FALSE,"2Assumptions";#N/A,#N/A,FALSE,"3Cash Flow";#N/A,#N/A,FALSE,"5Residual";#N/A,#N/A,FALSE,"Occupancy Cost";#N/A,#N/A,FALSE,"7Financing Sensitivity";#N/A,#N/A,FALSE,"8Residual Sensitivity";#N/A,#N/A,FALSE,"10Vacancy Matrix";#N/A,#N/A,FALSE,"11Expiration Schedule";#N/A,#N/A,FALSE,"12Lease-up Schedule";#N/A,#N/A,FALSE,"OFS-Lease-up Schedule";#N/A,#N/A,FALSE,"Short Holds"}</definedName>
    <definedName name="wrn.VALUATION." hidden="1">{#N/A,#N/A,FALSE,"Valuation Assumptions";#N/A,#N/A,FALSE,"Summary";#N/A,#N/A,FALSE,"DCF";#N/A,#N/A,FALSE,"Valuation";#N/A,#N/A,FALSE,"WACC";#N/A,#N/A,FALSE,"UBVH";#N/A,#N/A,FALSE,"Free Cash Flow"}</definedName>
    <definedName name="wrn.Value." hidden="1">{#N/A,#N/A,FALSE,"Cashflow Analysis";#N/A,#N/A,FALSE,"Sensitivity Analysis";#N/A,#N/A,FALSE,"PV";#N/A,#N/A,FALSE,"Pro Forma"}</definedName>
    <definedName name="wrn.Value.2" hidden="1">{#N/A,#N/A,FALSE,"Cashflow Analysis";#N/A,#N/A,FALSE,"Sensitivity Analysis";#N/A,#N/A,FALSE,"PV";#N/A,#N/A,FALSE,"Pro Forma"}</definedName>
    <definedName name="wrn.VRDB._.5._.Year._.Average." hidden="1">{"VRDB 5 Year Average",#N/A,FALSE,"VRDB-His"}</definedName>
    <definedName name="wrn.VRDB._.Current._.Market." hidden="1">{"VRDB Current Market",#N/A,FALSE,"VRDB-Cur"}</definedName>
    <definedName name="xxd" hidden="1">{#N/A,#N/A,FALSE,"Cashflow Analysis";#N/A,#N/A,FALSE,"Sensitivity Analysis";#N/A,#N/A,FALSE,"PV";#N/A,#N/A,FALSE,"Pro Forma"}</definedName>
    <definedName name="xxd.2" hidden="1">{#N/A,#N/A,FALSE,"Cashflow Analysis";#N/A,#N/A,FALSE,"Sensitivity Analysis";#N/A,#N/A,FALSE,"PV";#N/A,#N/A,FALSE,"Pro Forma"}</definedName>
    <definedName name="xxx" hidden="1">{#N/A,#N/A,FALSE,"ACQ_GRAPHS";#N/A,#N/A,FALSE,"T_1 GRAPHS";#N/A,#N/A,FALSE,"T_2 GRAPHS";#N/A,#N/A,FALSE,"COMB_GRAPHS"}</definedName>
    <definedName name="xxx3" hidden="1">{"AnnualRentRoll",#N/A,FALSE,"RentRoll"}</definedName>
    <definedName name="xxx4" hidden="1">{#N/A,#N/A,FALSE,"ExitStratigy"}</definedName>
    <definedName name="Z_53B97FD7_206F_4E0F_BD6E_C5CE50A4020E_.wvu.Cols" hidden="1">#REF!,#REF!</definedName>
    <definedName name="Z_53B97FD7_206F_4E0F_BD6E_C5CE50A4020E_.wvu.Rows" hidden="1">#REF!,#REF!,#REF!,#REF!,#REF!,#REF!,#REF!,#REF!,#REF!,#REF!,#REF!,#REF!,#REF!,#REF!,#REF!,#REF!,#REF!,#REF!,#REF!,#REF!,#REF!,#REF!,#REF!,#REF!,#REF!,#REF!,#REF!,#REF!,#REF!,#REF!,#REF!,#REF!,#REF!,#REF!,#REF!,#REF!,#REF!,#REF!,#REF!,#REF!,#REF!,#REF!,#REF!,#REF!</definedName>
    <definedName name="Z_80E05628_A34C_4666_9DEC_E528308A36DF_.wvu.Rows" hidden="1">#REF!,#REF!,#REF!,#REF!,#REF!,#REF!,#REF!,#REF!,#REF!,#REF!,#REF!,#REF!,#REF!,#REF!,#REF!,#REF!,#REF!,#REF!</definedName>
    <definedName name="Z_B8D30F00_07A3_48E4_982B_7D435ADE48EE_.wvu.Cols" hidden="1">#REF!,#REF!</definedName>
    <definedName name="Z_B8D30F00_07A3_48E4_982B_7D435ADE48EE_.wvu.PrintArea" hidden="1">#REF!</definedName>
    <definedName name="Z_B8D30F00_07A3_48E4_982B_7D435ADE48EE_.wvu.Rows" hidden="1">#REF!,#REF!,#REF!,#REF!,#REF!,#REF!,#REF!,#REF!,#REF!,#REF!,#REF!,#REF!,#REF!,#REF!,#REF!,#REF!,#REF!,#REF!,#REF!,#REF!,#REF!,#REF!,#REF!,#REF!,#REF!,#REF!,#REF!,#REF!,#REF!,#REF!,#REF!,#REF!,#REF!,#REF!,#REF!,#REF!,#REF!,#REF!,#REF!,#REF!,#REF!,#REF!,#REF!,#REF!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620" i="2" l="1"/>
  <c r="R620" i="2"/>
  <c r="M620" i="2"/>
  <c r="L620" i="2"/>
  <c r="B620" i="2"/>
  <c r="S619" i="2"/>
  <c r="R619" i="2"/>
  <c r="M619" i="2"/>
  <c r="L619" i="2"/>
  <c r="B619" i="2"/>
  <c r="S618" i="2"/>
  <c r="R618" i="2"/>
  <c r="M618" i="2"/>
  <c r="L618" i="2"/>
  <c r="B618" i="2"/>
  <c r="S617" i="2"/>
  <c r="R617" i="2"/>
  <c r="M617" i="2"/>
  <c r="L617" i="2"/>
  <c r="B617" i="2"/>
  <c r="S616" i="2"/>
  <c r="R616" i="2"/>
  <c r="M616" i="2"/>
  <c r="L616" i="2"/>
  <c r="B616" i="2"/>
  <c r="S615" i="2"/>
  <c r="R615" i="2"/>
  <c r="M615" i="2"/>
  <c r="L615" i="2"/>
  <c r="B615" i="2"/>
  <c r="S614" i="2"/>
  <c r="R614" i="2"/>
  <c r="M614" i="2"/>
  <c r="L614" i="2"/>
  <c r="B614" i="2"/>
  <c r="S613" i="2"/>
  <c r="R613" i="2"/>
  <c r="M613" i="2"/>
  <c r="L613" i="2"/>
  <c r="B613" i="2"/>
  <c r="S612" i="2"/>
  <c r="R612" i="2"/>
  <c r="M612" i="2"/>
  <c r="L612" i="2"/>
  <c r="B612" i="2"/>
  <c r="S611" i="2"/>
  <c r="R611" i="2"/>
  <c r="M611" i="2"/>
  <c r="L611" i="2"/>
  <c r="B611" i="2"/>
  <c r="S610" i="2"/>
  <c r="R610" i="2"/>
  <c r="M610" i="2"/>
  <c r="L610" i="2"/>
  <c r="B610" i="2"/>
  <c r="S609" i="2"/>
  <c r="R609" i="2"/>
  <c r="M609" i="2"/>
  <c r="L609" i="2"/>
  <c r="B609" i="2"/>
  <c r="S608" i="2"/>
  <c r="R608" i="2"/>
  <c r="M608" i="2"/>
  <c r="L608" i="2"/>
  <c r="B608" i="2"/>
  <c r="S607" i="2"/>
  <c r="R607" i="2"/>
  <c r="M607" i="2"/>
  <c r="L607" i="2"/>
  <c r="B607" i="2"/>
  <c r="S606" i="2"/>
  <c r="R606" i="2"/>
  <c r="M606" i="2"/>
  <c r="L606" i="2"/>
  <c r="B606" i="2"/>
  <c r="S605" i="2"/>
  <c r="R605" i="2"/>
  <c r="M605" i="2"/>
  <c r="L605" i="2"/>
  <c r="B605" i="2"/>
  <c r="S604" i="2"/>
  <c r="R604" i="2"/>
  <c r="M604" i="2"/>
  <c r="L604" i="2"/>
  <c r="B604" i="2"/>
  <c r="S603" i="2"/>
  <c r="R603" i="2"/>
  <c r="M603" i="2"/>
  <c r="L603" i="2"/>
  <c r="B603" i="2"/>
  <c r="S602" i="2"/>
  <c r="R602" i="2"/>
  <c r="M602" i="2"/>
  <c r="L602" i="2"/>
  <c r="B602" i="2"/>
  <c r="S601" i="2"/>
  <c r="R601" i="2"/>
  <c r="M601" i="2"/>
  <c r="L601" i="2"/>
  <c r="B601" i="2"/>
  <c r="S600" i="2"/>
  <c r="R600" i="2"/>
  <c r="M600" i="2"/>
  <c r="L600" i="2"/>
  <c r="B600" i="2"/>
  <c r="S599" i="2"/>
  <c r="R599" i="2"/>
  <c r="M599" i="2"/>
  <c r="L599" i="2"/>
  <c r="B599" i="2"/>
  <c r="S598" i="2"/>
  <c r="R598" i="2"/>
  <c r="M598" i="2"/>
  <c r="L598" i="2"/>
  <c r="B598" i="2"/>
  <c r="S597" i="2"/>
  <c r="R597" i="2"/>
  <c r="M597" i="2"/>
  <c r="L597" i="2"/>
  <c r="B597" i="2"/>
  <c r="S596" i="2"/>
  <c r="R596" i="2"/>
  <c r="M596" i="2"/>
  <c r="L596" i="2"/>
  <c r="B596" i="2"/>
  <c r="S595" i="2"/>
  <c r="R595" i="2"/>
  <c r="M595" i="2"/>
  <c r="L595" i="2"/>
  <c r="B595" i="2"/>
  <c r="S594" i="2"/>
  <c r="R594" i="2"/>
  <c r="M594" i="2"/>
  <c r="L594" i="2"/>
  <c r="B594" i="2"/>
  <c r="S593" i="2"/>
  <c r="R593" i="2"/>
  <c r="M593" i="2"/>
  <c r="L593" i="2"/>
  <c r="B593" i="2"/>
  <c r="S592" i="2"/>
  <c r="R592" i="2"/>
  <c r="M592" i="2"/>
  <c r="L592" i="2"/>
  <c r="B592" i="2"/>
  <c r="S591" i="2"/>
  <c r="R591" i="2"/>
  <c r="M591" i="2"/>
  <c r="L591" i="2"/>
  <c r="B591" i="2"/>
  <c r="S590" i="2"/>
  <c r="R590" i="2"/>
  <c r="M590" i="2"/>
  <c r="L590" i="2"/>
  <c r="B590" i="2"/>
  <c r="S589" i="2"/>
  <c r="R589" i="2"/>
  <c r="M589" i="2"/>
  <c r="L589" i="2"/>
  <c r="B589" i="2"/>
  <c r="S588" i="2"/>
  <c r="R588" i="2"/>
  <c r="M588" i="2"/>
  <c r="L588" i="2"/>
  <c r="B588" i="2"/>
  <c r="S587" i="2"/>
  <c r="R587" i="2"/>
  <c r="M587" i="2"/>
  <c r="L587" i="2"/>
  <c r="B587" i="2"/>
  <c r="S586" i="2"/>
  <c r="R586" i="2"/>
  <c r="M586" i="2"/>
  <c r="L586" i="2"/>
  <c r="B586" i="2"/>
  <c r="S585" i="2"/>
  <c r="R585" i="2"/>
  <c r="M585" i="2"/>
  <c r="L585" i="2"/>
  <c r="B585" i="2"/>
  <c r="S584" i="2"/>
  <c r="R584" i="2"/>
  <c r="M584" i="2"/>
  <c r="L584" i="2"/>
  <c r="B584" i="2"/>
  <c r="S583" i="2"/>
  <c r="R583" i="2"/>
  <c r="M583" i="2"/>
  <c r="L583" i="2"/>
  <c r="B583" i="2"/>
  <c r="S582" i="2"/>
  <c r="R582" i="2"/>
  <c r="M582" i="2"/>
  <c r="L582" i="2"/>
  <c r="B582" i="2"/>
  <c r="S581" i="2"/>
  <c r="R581" i="2"/>
  <c r="M581" i="2"/>
  <c r="L581" i="2"/>
  <c r="B581" i="2"/>
  <c r="S580" i="2"/>
  <c r="R580" i="2"/>
  <c r="M580" i="2"/>
  <c r="L580" i="2"/>
  <c r="B580" i="2"/>
  <c r="S579" i="2"/>
  <c r="R579" i="2"/>
  <c r="M579" i="2"/>
  <c r="L579" i="2"/>
  <c r="B579" i="2"/>
  <c r="S578" i="2"/>
  <c r="R578" i="2"/>
  <c r="M578" i="2"/>
  <c r="L578" i="2"/>
  <c r="B578" i="2"/>
  <c r="S577" i="2"/>
  <c r="R577" i="2"/>
  <c r="M577" i="2"/>
  <c r="L577" i="2"/>
  <c r="B577" i="2"/>
  <c r="S576" i="2"/>
  <c r="R576" i="2"/>
  <c r="M576" i="2"/>
  <c r="L576" i="2"/>
  <c r="B576" i="2"/>
  <c r="S575" i="2"/>
  <c r="R575" i="2"/>
  <c r="M575" i="2"/>
  <c r="L575" i="2"/>
  <c r="B575" i="2"/>
  <c r="S574" i="2"/>
  <c r="R574" i="2"/>
  <c r="M574" i="2"/>
  <c r="L574" i="2"/>
  <c r="B574" i="2"/>
  <c r="S573" i="2"/>
  <c r="R573" i="2"/>
  <c r="M573" i="2"/>
  <c r="L573" i="2"/>
  <c r="B573" i="2"/>
  <c r="S572" i="2"/>
  <c r="R572" i="2"/>
  <c r="M572" i="2"/>
  <c r="L572" i="2"/>
  <c r="B572" i="2"/>
  <c r="S571" i="2"/>
  <c r="R571" i="2"/>
  <c r="M571" i="2"/>
  <c r="L571" i="2"/>
  <c r="B571" i="2"/>
  <c r="S570" i="2"/>
  <c r="R570" i="2"/>
  <c r="M570" i="2"/>
  <c r="L570" i="2"/>
  <c r="B570" i="2"/>
  <c r="S569" i="2"/>
  <c r="R569" i="2"/>
  <c r="M569" i="2"/>
  <c r="L569" i="2"/>
  <c r="B569" i="2"/>
  <c r="S568" i="2"/>
  <c r="R568" i="2"/>
  <c r="M568" i="2"/>
  <c r="L568" i="2"/>
  <c r="B568" i="2"/>
  <c r="S567" i="2"/>
  <c r="R567" i="2"/>
  <c r="M567" i="2"/>
  <c r="L567" i="2"/>
  <c r="B567" i="2"/>
  <c r="S566" i="2"/>
  <c r="R566" i="2"/>
  <c r="M566" i="2"/>
  <c r="L566" i="2"/>
  <c r="B566" i="2"/>
  <c r="S565" i="2"/>
  <c r="R565" i="2"/>
  <c r="M565" i="2"/>
  <c r="L565" i="2"/>
  <c r="B565" i="2"/>
  <c r="S564" i="2"/>
  <c r="R564" i="2"/>
  <c r="M564" i="2"/>
  <c r="L564" i="2"/>
  <c r="B564" i="2"/>
  <c r="S563" i="2"/>
  <c r="R563" i="2"/>
  <c r="M563" i="2"/>
  <c r="L563" i="2"/>
  <c r="B563" i="2"/>
  <c r="S562" i="2"/>
  <c r="R562" i="2"/>
  <c r="M562" i="2"/>
  <c r="L562" i="2"/>
  <c r="B562" i="2"/>
  <c r="S561" i="2"/>
  <c r="R561" i="2"/>
  <c r="M561" i="2"/>
  <c r="L561" i="2"/>
  <c r="B561" i="2"/>
  <c r="S560" i="2"/>
  <c r="R560" i="2"/>
  <c r="M560" i="2"/>
  <c r="L560" i="2"/>
  <c r="B560" i="2"/>
  <c r="S559" i="2"/>
  <c r="R559" i="2"/>
  <c r="M559" i="2"/>
  <c r="L559" i="2"/>
  <c r="B559" i="2"/>
  <c r="S558" i="2"/>
  <c r="R558" i="2"/>
  <c r="M558" i="2"/>
  <c r="L558" i="2"/>
  <c r="B558" i="2"/>
  <c r="S557" i="2"/>
  <c r="R557" i="2"/>
  <c r="M557" i="2"/>
  <c r="L557" i="2"/>
  <c r="B557" i="2"/>
  <c r="S556" i="2"/>
  <c r="R556" i="2"/>
  <c r="M556" i="2"/>
  <c r="L556" i="2"/>
  <c r="B556" i="2"/>
  <c r="S555" i="2"/>
  <c r="R555" i="2"/>
  <c r="M555" i="2"/>
  <c r="L555" i="2"/>
  <c r="B555" i="2"/>
  <c r="S554" i="2"/>
  <c r="R554" i="2"/>
  <c r="M554" i="2"/>
  <c r="L554" i="2"/>
  <c r="B554" i="2"/>
  <c r="S553" i="2"/>
  <c r="R553" i="2"/>
  <c r="M553" i="2"/>
  <c r="L553" i="2"/>
  <c r="B553" i="2"/>
  <c r="S552" i="2"/>
  <c r="R552" i="2"/>
  <c r="M552" i="2"/>
  <c r="L552" i="2"/>
  <c r="B552" i="2"/>
  <c r="S551" i="2"/>
  <c r="R551" i="2"/>
  <c r="M551" i="2"/>
  <c r="L551" i="2"/>
  <c r="B551" i="2"/>
  <c r="S550" i="2"/>
  <c r="R550" i="2"/>
  <c r="M550" i="2"/>
  <c r="L550" i="2"/>
  <c r="B550" i="2"/>
  <c r="S549" i="2"/>
  <c r="R549" i="2"/>
  <c r="M549" i="2"/>
  <c r="L549" i="2"/>
  <c r="B549" i="2"/>
  <c r="S548" i="2"/>
  <c r="R548" i="2"/>
  <c r="M548" i="2"/>
  <c r="L548" i="2"/>
  <c r="B548" i="2"/>
  <c r="S547" i="2"/>
  <c r="R547" i="2"/>
  <c r="M547" i="2"/>
  <c r="L547" i="2"/>
  <c r="B547" i="2"/>
  <c r="S546" i="2"/>
  <c r="R546" i="2"/>
  <c r="M546" i="2"/>
  <c r="L546" i="2"/>
  <c r="B546" i="2"/>
  <c r="S545" i="2"/>
  <c r="R545" i="2"/>
  <c r="M545" i="2"/>
  <c r="L545" i="2"/>
  <c r="B545" i="2"/>
  <c r="S544" i="2"/>
  <c r="R544" i="2"/>
  <c r="M544" i="2"/>
  <c r="L544" i="2"/>
  <c r="B544" i="2"/>
  <c r="S543" i="2"/>
  <c r="R543" i="2"/>
  <c r="M543" i="2"/>
  <c r="L543" i="2"/>
  <c r="B543" i="2"/>
  <c r="S542" i="2"/>
  <c r="R542" i="2"/>
  <c r="M542" i="2"/>
  <c r="L542" i="2"/>
  <c r="B542" i="2"/>
  <c r="S541" i="2"/>
  <c r="R541" i="2"/>
  <c r="M541" i="2"/>
  <c r="L541" i="2"/>
  <c r="B541" i="2"/>
  <c r="S540" i="2"/>
  <c r="R540" i="2"/>
  <c r="M540" i="2"/>
  <c r="L540" i="2"/>
  <c r="B540" i="2"/>
  <c r="S539" i="2"/>
  <c r="R539" i="2"/>
  <c r="M539" i="2"/>
  <c r="L539" i="2"/>
  <c r="B539" i="2"/>
  <c r="S538" i="2"/>
  <c r="R538" i="2"/>
  <c r="M538" i="2"/>
  <c r="L538" i="2"/>
  <c r="B538" i="2"/>
  <c r="S537" i="2"/>
  <c r="R537" i="2"/>
  <c r="M537" i="2"/>
  <c r="L537" i="2"/>
  <c r="B537" i="2"/>
  <c r="S536" i="2"/>
  <c r="R536" i="2"/>
  <c r="M536" i="2"/>
  <c r="L536" i="2"/>
  <c r="B536" i="2"/>
  <c r="S535" i="2"/>
  <c r="R535" i="2"/>
  <c r="M535" i="2"/>
  <c r="L535" i="2"/>
  <c r="B535" i="2"/>
  <c r="S534" i="2"/>
  <c r="R534" i="2"/>
  <c r="M534" i="2"/>
  <c r="L534" i="2"/>
  <c r="B534" i="2"/>
  <c r="S533" i="2"/>
  <c r="R533" i="2"/>
  <c r="M533" i="2"/>
  <c r="L533" i="2"/>
  <c r="B533" i="2"/>
  <c r="S532" i="2"/>
  <c r="R532" i="2"/>
  <c r="M532" i="2"/>
  <c r="L532" i="2"/>
  <c r="B532" i="2"/>
  <c r="S531" i="2"/>
  <c r="R531" i="2"/>
  <c r="M531" i="2"/>
  <c r="L531" i="2"/>
  <c r="B531" i="2"/>
  <c r="S530" i="2"/>
  <c r="R530" i="2"/>
  <c r="M530" i="2"/>
  <c r="L530" i="2"/>
  <c r="B530" i="2"/>
  <c r="S529" i="2"/>
  <c r="R529" i="2"/>
  <c r="M529" i="2"/>
  <c r="L529" i="2"/>
  <c r="B529" i="2"/>
  <c r="S528" i="2"/>
  <c r="R528" i="2"/>
  <c r="M528" i="2"/>
  <c r="L528" i="2"/>
  <c r="B528" i="2"/>
  <c r="S527" i="2"/>
  <c r="R527" i="2"/>
  <c r="M527" i="2"/>
  <c r="L527" i="2"/>
  <c r="B527" i="2"/>
  <c r="S526" i="2"/>
  <c r="R526" i="2"/>
  <c r="M526" i="2"/>
  <c r="L526" i="2"/>
  <c r="B526" i="2"/>
  <c r="S525" i="2"/>
  <c r="R525" i="2"/>
  <c r="M525" i="2"/>
  <c r="L525" i="2"/>
  <c r="B525" i="2"/>
  <c r="S524" i="2"/>
  <c r="R524" i="2"/>
  <c r="M524" i="2"/>
  <c r="L524" i="2"/>
  <c r="B524" i="2"/>
  <c r="S523" i="2"/>
  <c r="R523" i="2"/>
  <c r="M523" i="2"/>
  <c r="L523" i="2"/>
  <c r="B523" i="2"/>
  <c r="S522" i="2"/>
  <c r="R522" i="2"/>
  <c r="M522" i="2"/>
  <c r="L522" i="2"/>
  <c r="B522" i="2"/>
  <c r="S521" i="2"/>
  <c r="R521" i="2"/>
  <c r="M521" i="2"/>
  <c r="L521" i="2"/>
  <c r="B521" i="2"/>
  <c r="S520" i="2"/>
  <c r="R520" i="2"/>
  <c r="M520" i="2"/>
  <c r="L520" i="2"/>
  <c r="B520" i="2"/>
  <c r="S519" i="2"/>
  <c r="R519" i="2"/>
  <c r="M519" i="2"/>
  <c r="L519" i="2"/>
  <c r="B519" i="2"/>
  <c r="S518" i="2"/>
  <c r="R518" i="2"/>
  <c r="M518" i="2"/>
  <c r="L518" i="2"/>
  <c r="B518" i="2"/>
  <c r="S517" i="2"/>
  <c r="R517" i="2"/>
  <c r="M517" i="2"/>
  <c r="L517" i="2"/>
  <c r="B517" i="2"/>
  <c r="S516" i="2"/>
  <c r="R516" i="2"/>
  <c r="M516" i="2"/>
  <c r="L516" i="2"/>
  <c r="B516" i="2"/>
  <c r="S515" i="2"/>
  <c r="R515" i="2"/>
  <c r="M515" i="2"/>
  <c r="L515" i="2"/>
  <c r="B515" i="2"/>
  <c r="S514" i="2"/>
  <c r="R514" i="2"/>
  <c r="M514" i="2"/>
  <c r="L514" i="2"/>
  <c r="B514" i="2"/>
  <c r="S513" i="2"/>
  <c r="R513" i="2"/>
  <c r="M513" i="2"/>
  <c r="L513" i="2"/>
  <c r="B513" i="2"/>
  <c r="S512" i="2"/>
  <c r="R512" i="2"/>
  <c r="M512" i="2"/>
  <c r="L512" i="2"/>
  <c r="B512" i="2"/>
  <c r="S511" i="2"/>
  <c r="R511" i="2"/>
  <c r="M511" i="2"/>
  <c r="L511" i="2"/>
  <c r="B511" i="2"/>
  <c r="S510" i="2"/>
  <c r="R510" i="2"/>
  <c r="M510" i="2"/>
  <c r="L510" i="2"/>
  <c r="B510" i="2"/>
  <c r="S509" i="2"/>
  <c r="R509" i="2"/>
  <c r="M509" i="2"/>
  <c r="L509" i="2"/>
  <c r="B509" i="2"/>
  <c r="S508" i="2"/>
  <c r="R508" i="2"/>
  <c r="M508" i="2"/>
  <c r="L508" i="2"/>
  <c r="B508" i="2"/>
  <c r="S507" i="2"/>
  <c r="R507" i="2"/>
  <c r="M507" i="2"/>
  <c r="L507" i="2"/>
  <c r="B507" i="2"/>
  <c r="S506" i="2"/>
  <c r="R506" i="2"/>
  <c r="M506" i="2"/>
  <c r="L506" i="2"/>
  <c r="B506" i="2"/>
  <c r="S505" i="2"/>
  <c r="R505" i="2"/>
  <c r="M505" i="2"/>
  <c r="L505" i="2"/>
  <c r="B505" i="2"/>
  <c r="S504" i="2"/>
  <c r="R504" i="2"/>
  <c r="M504" i="2"/>
  <c r="L504" i="2"/>
  <c r="B504" i="2"/>
  <c r="S503" i="2"/>
  <c r="R503" i="2"/>
  <c r="M503" i="2"/>
  <c r="L503" i="2"/>
  <c r="B503" i="2"/>
  <c r="S502" i="2"/>
  <c r="R502" i="2"/>
  <c r="M502" i="2"/>
  <c r="L502" i="2"/>
  <c r="B502" i="2"/>
  <c r="S501" i="2"/>
  <c r="R501" i="2"/>
  <c r="M501" i="2"/>
  <c r="L501" i="2"/>
  <c r="B501" i="2"/>
  <c r="S500" i="2"/>
  <c r="R500" i="2"/>
  <c r="M500" i="2"/>
  <c r="L500" i="2"/>
  <c r="B500" i="2"/>
  <c r="S499" i="2"/>
  <c r="R499" i="2"/>
  <c r="M499" i="2"/>
  <c r="L499" i="2"/>
  <c r="B499" i="2"/>
  <c r="S498" i="2"/>
  <c r="R498" i="2"/>
  <c r="M498" i="2"/>
  <c r="L498" i="2"/>
  <c r="B498" i="2"/>
  <c r="S497" i="2"/>
  <c r="R497" i="2"/>
  <c r="M497" i="2"/>
  <c r="L497" i="2"/>
  <c r="B497" i="2"/>
  <c r="S496" i="2"/>
  <c r="R496" i="2"/>
  <c r="M496" i="2"/>
  <c r="L496" i="2"/>
  <c r="B496" i="2"/>
  <c r="S495" i="2"/>
  <c r="R495" i="2"/>
  <c r="M495" i="2"/>
  <c r="L495" i="2"/>
  <c r="B495" i="2"/>
  <c r="S494" i="2"/>
  <c r="R494" i="2"/>
  <c r="M494" i="2"/>
  <c r="L494" i="2"/>
  <c r="B494" i="2"/>
  <c r="S493" i="2"/>
  <c r="R493" i="2"/>
  <c r="M493" i="2"/>
  <c r="L493" i="2"/>
  <c r="B493" i="2"/>
  <c r="S492" i="2"/>
  <c r="R492" i="2"/>
  <c r="M492" i="2"/>
  <c r="L492" i="2"/>
  <c r="B492" i="2"/>
  <c r="S491" i="2"/>
  <c r="R491" i="2"/>
  <c r="M491" i="2"/>
  <c r="L491" i="2"/>
  <c r="B491" i="2"/>
  <c r="S490" i="2"/>
  <c r="R490" i="2"/>
  <c r="M490" i="2"/>
  <c r="L490" i="2"/>
  <c r="B490" i="2"/>
  <c r="S489" i="2"/>
  <c r="R489" i="2"/>
  <c r="M489" i="2"/>
  <c r="L489" i="2"/>
  <c r="B489" i="2"/>
  <c r="S488" i="2"/>
  <c r="R488" i="2"/>
  <c r="M488" i="2"/>
  <c r="L488" i="2"/>
  <c r="B488" i="2"/>
  <c r="S487" i="2"/>
  <c r="R487" i="2"/>
  <c r="M487" i="2"/>
  <c r="L487" i="2"/>
  <c r="B487" i="2"/>
  <c r="S486" i="2"/>
  <c r="R486" i="2"/>
  <c r="M486" i="2"/>
  <c r="L486" i="2"/>
  <c r="B486" i="2"/>
  <c r="S485" i="2"/>
  <c r="R485" i="2"/>
  <c r="M485" i="2"/>
  <c r="L485" i="2"/>
  <c r="B485" i="2"/>
  <c r="S484" i="2"/>
  <c r="R484" i="2"/>
  <c r="M484" i="2"/>
  <c r="L484" i="2"/>
  <c r="B484" i="2"/>
  <c r="S483" i="2"/>
  <c r="R483" i="2"/>
  <c r="M483" i="2"/>
  <c r="L483" i="2"/>
  <c r="B483" i="2"/>
  <c r="S482" i="2"/>
  <c r="R482" i="2"/>
  <c r="M482" i="2"/>
  <c r="L482" i="2"/>
  <c r="B482" i="2"/>
  <c r="S481" i="2"/>
  <c r="R481" i="2"/>
  <c r="M481" i="2"/>
  <c r="L481" i="2"/>
  <c r="B481" i="2"/>
  <c r="S480" i="2"/>
  <c r="R480" i="2"/>
  <c r="M480" i="2"/>
  <c r="L480" i="2"/>
  <c r="B480" i="2"/>
  <c r="S479" i="2"/>
  <c r="R479" i="2"/>
  <c r="M479" i="2"/>
  <c r="L479" i="2"/>
  <c r="B479" i="2"/>
  <c r="S478" i="2"/>
  <c r="R478" i="2"/>
  <c r="M478" i="2"/>
  <c r="L478" i="2"/>
  <c r="B478" i="2"/>
  <c r="S477" i="2"/>
  <c r="R477" i="2"/>
  <c r="M477" i="2"/>
  <c r="L477" i="2"/>
  <c r="B477" i="2"/>
  <c r="S476" i="2"/>
  <c r="R476" i="2"/>
  <c r="M476" i="2"/>
  <c r="L476" i="2"/>
  <c r="B476" i="2"/>
  <c r="S475" i="2"/>
  <c r="R475" i="2"/>
  <c r="M475" i="2"/>
  <c r="L475" i="2"/>
  <c r="B475" i="2"/>
  <c r="S474" i="2"/>
  <c r="R474" i="2"/>
  <c r="M474" i="2"/>
  <c r="L474" i="2"/>
  <c r="B474" i="2"/>
  <c r="S473" i="2"/>
  <c r="R473" i="2"/>
  <c r="M473" i="2"/>
  <c r="L473" i="2"/>
  <c r="B473" i="2"/>
  <c r="S472" i="2"/>
  <c r="R472" i="2"/>
  <c r="M472" i="2"/>
  <c r="L472" i="2"/>
  <c r="B472" i="2"/>
  <c r="S471" i="2"/>
  <c r="R471" i="2"/>
  <c r="M471" i="2"/>
  <c r="L471" i="2"/>
  <c r="B471" i="2"/>
  <c r="S470" i="2"/>
  <c r="R470" i="2"/>
  <c r="M470" i="2"/>
  <c r="L470" i="2"/>
  <c r="B470" i="2"/>
  <c r="S469" i="2"/>
  <c r="R469" i="2"/>
  <c r="M469" i="2"/>
  <c r="L469" i="2"/>
  <c r="B469" i="2"/>
  <c r="S468" i="2"/>
  <c r="R468" i="2"/>
  <c r="M468" i="2"/>
  <c r="L468" i="2"/>
  <c r="B468" i="2"/>
  <c r="S467" i="2"/>
  <c r="R467" i="2"/>
  <c r="M467" i="2"/>
  <c r="L467" i="2"/>
  <c r="B467" i="2"/>
  <c r="S466" i="2"/>
  <c r="R466" i="2"/>
  <c r="M466" i="2"/>
  <c r="L466" i="2"/>
  <c r="B466" i="2"/>
  <c r="S465" i="2"/>
  <c r="R465" i="2"/>
  <c r="M465" i="2"/>
  <c r="L465" i="2"/>
  <c r="B465" i="2"/>
  <c r="S464" i="2"/>
  <c r="R464" i="2"/>
  <c r="M464" i="2"/>
  <c r="L464" i="2"/>
  <c r="B464" i="2"/>
  <c r="S463" i="2"/>
  <c r="R463" i="2"/>
  <c r="M463" i="2"/>
  <c r="L463" i="2"/>
  <c r="B463" i="2"/>
  <c r="S462" i="2"/>
  <c r="R462" i="2"/>
  <c r="M462" i="2"/>
  <c r="L462" i="2"/>
  <c r="B462" i="2"/>
  <c r="S461" i="2"/>
  <c r="R461" i="2"/>
  <c r="M461" i="2"/>
  <c r="L461" i="2"/>
  <c r="B461" i="2"/>
  <c r="S460" i="2"/>
  <c r="R460" i="2"/>
  <c r="M460" i="2"/>
  <c r="L460" i="2"/>
  <c r="B460" i="2"/>
  <c r="S459" i="2"/>
  <c r="R459" i="2"/>
  <c r="M459" i="2"/>
  <c r="L459" i="2"/>
  <c r="B459" i="2"/>
  <c r="S458" i="2"/>
  <c r="R458" i="2"/>
  <c r="M458" i="2"/>
  <c r="L458" i="2"/>
  <c r="B458" i="2"/>
  <c r="S457" i="2"/>
  <c r="R457" i="2"/>
  <c r="M457" i="2"/>
  <c r="L457" i="2"/>
  <c r="B457" i="2"/>
  <c r="S456" i="2"/>
  <c r="R456" i="2"/>
  <c r="M456" i="2"/>
  <c r="L456" i="2"/>
  <c r="B456" i="2"/>
  <c r="S455" i="2"/>
  <c r="R455" i="2"/>
  <c r="M455" i="2"/>
  <c r="L455" i="2"/>
  <c r="B455" i="2"/>
  <c r="S454" i="2"/>
  <c r="R454" i="2"/>
  <c r="M454" i="2"/>
  <c r="L454" i="2"/>
  <c r="B454" i="2"/>
  <c r="S453" i="2"/>
  <c r="R453" i="2"/>
  <c r="M453" i="2"/>
  <c r="L453" i="2"/>
  <c r="B453" i="2"/>
  <c r="S452" i="2"/>
  <c r="R452" i="2"/>
  <c r="M452" i="2"/>
  <c r="L452" i="2"/>
  <c r="B452" i="2"/>
  <c r="S451" i="2"/>
  <c r="R451" i="2"/>
  <c r="M451" i="2"/>
  <c r="L451" i="2"/>
  <c r="B451" i="2"/>
  <c r="S450" i="2"/>
  <c r="R450" i="2"/>
  <c r="M450" i="2"/>
  <c r="L450" i="2"/>
  <c r="B450" i="2"/>
  <c r="S449" i="2"/>
  <c r="R449" i="2"/>
  <c r="M449" i="2"/>
  <c r="L449" i="2"/>
  <c r="B449" i="2"/>
  <c r="S448" i="2"/>
  <c r="R448" i="2"/>
  <c r="M448" i="2"/>
  <c r="L448" i="2"/>
  <c r="B448" i="2"/>
  <c r="S447" i="2"/>
  <c r="R447" i="2"/>
  <c r="M447" i="2"/>
  <c r="L447" i="2"/>
  <c r="B447" i="2"/>
  <c r="S446" i="2"/>
  <c r="R446" i="2"/>
  <c r="M446" i="2"/>
  <c r="L446" i="2"/>
  <c r="B446" i="2"/>
  <c r="S445" i="2"/>
  <c r="R445" i="2"/>
  <c r="M445" i="2"/>
  <c r="L445" i="2"/>
  <c r="B445" i="2"/>
  <c r="S444" i="2"/>
  <c r="R444" i="2"/>
  <c r="M444" i="2"/>
  <c r="L444" i="2"/>
  <c r="B444" i="2"/>
  <c r="S443" i="2"/>
  <c r="R443" i="2"/>
  <c r="M443" i="2"/>
  <c r="L443" i="2"/>
  <c r="B443" i="2"/>
  <c r="S442" i="2"/>
  <c r="R442" i="2"/>
  <c r="M442" i="2"/>
  <c r="L442" i="2"/>
  <c r="B442" i="2"/>
  <c r="S441" i="2"/>
  <c r="R441" i="2"/>
  <c r="M441" i="2"/>
  <c r="L441" i="2"/>
  <c r="B441" i="2"/>
  <c r="S440" i="2"/>
  <c r="R440" i="2"/>
  <c r="M440" i="2"/>
  <c r="L440" i="2"/>
  <c r="B440" i="2"/>
  <c r="S439" i="2"/>
  <c r="R439" i="2"/>
  <c r="M439" i="2"/>
  <c r="L439" i="2"/>
  <c r="B439" i="2"/>
  <c r="S438" i="2"/>
  <c r="R438" i="2"/>
  <c r="M438" i="2"/>
  <c r="L438" i="2"/>
  <c r="B438" i="2"/>
  <c r="S437" i="2"/>
  <c r="R437" i="2"/>
  <c r="M437" i="2"/>
  <c r="L437" i="2"/>
  <c r="B437" i="2"/>
  <c r="S436" i="2"/>
  <c r="R436" i="2"/>
  <c r="M436" i="2"/>
  <c r="L436" i="2"/>
  <c r="B436" i="2"/>
  <c r="S435" i="2"/>
  <c r="R435" i="2"/>
  <c r="M435" i="2"/>
  <c r="L435" i="2"/>
  <c r="B435" i="2"/>
  <c r="S434" i="2"/>
  <c r="R434" i="2"/>
  <c r="M434" i="2"/>
  <c r="L434" i="2"/>
  <c r="B434" i="2"/>
  <c r="S433" i="2"/>
  <c r="R433" i="2"/>
  <c r="M433" i="2"/>
  <c r="L433" i="2"/>
  <c r="B433" i="2"/>
  <c r="S432" i="2"/>
  <c r="R432" i="2"/>
  <c r="M432" i="2"/>
  <c r="L432" i="2"/>
  <c r="B432" i="2"/>
  <c r="S431" i="2"/>
  <c r="R431" i="2"/>
  <c r="M431" i="2"/>
  <c r="L431" i="2"/>
  <c r="B431" i="2"/>
  <c r="S430" i="2"/>
  <c r="R430" i="2"/>
  <c r="M430" i="2"/>
  <c r="L430" i="2"/>
  <c r="B430" i="2"/>
  <c r="S429" i="2"/>
  <c r="R429" i="2"/>
  <c r="M429" i="2"/>
  <c r="L429" i="2"/>
  <c r="B429" i="2"/>
  <c r="S428" i="2"/>
  <c r="R428" i="2"/>
  <c r="M428" i="2"/>
  <c r="L428" i="2"/>
  <c r="B428" i="2"/>
  <c r="S427" i="2"/>
  <c r="R427" i="2"/>
  <c r="M427" i="2"/>
  <c r="L427" i="2"/>
  <c r="B427" i="2"/>
  <c r="S426" i="2"/>
  <c r="R426" i="2"/>
  <c r="M426" i="2"/>
  <c r="L426" i="2"/>
  <c r="B426" i="2"/>
  <c r="S425" i="2"/>
  <c r="R425" i="2"/>
  <c r="M425" i="2"/>
  <c r="L425" i="2"/>
  <c r="B425" i="2"/>
  <c r="S424" i="2"/>
  <c r="R424" i="2"/>
  <c r="M424" i="2"/>
  <c r="L424" i="2"/>
  <c r="B424" i="2"/>
  <c r="S423" i="2"/>
  <c r="R423" i="2"/>
  <c r="M423" i="2"/>
  <c r="L423" i="2"/>
  <c r="B423" i="2"/>
  <c r="S422" i="2"/>
  <c r="R422" i="2"/>
  <c r="M422" i="2"/>
  <c r="L422" i="2"/>
  <c r="B422" i="2"/>
  <c r="S421" i="2"/>
  <c r="R421" i="2"/>
  <c r="M421" i="2"/>
  <c r="L421" i="2"/>
  <c r="B421" i="2"/>
  <c r="S420" i="2"/>
  <c r="R420" i="2"/>
  <c r="M420" i="2"/>
  <c r="L420" i="2"/>
  <c r="B420" i="2"/>
  <c r="S419" i="2"/>
  <c r="R419" i="2"/>
  <c r="M419" i="2"/>
  <c r="L419" i="2"/>
  <c r="B419" i="2"/>
  <c r="S418" i="2"/>
  <c r="R418" i="2"/>
  <c r="M418" i="2"/>
  <c r="L418" i="2"/>
  <c r="B418" i="2"/>
  <c r="S417" i="2"/>
  <c r="R417" i="2"/>
  <c r="M417" i="2"/>
  <c r="L417" i="2"/>
  <c r="B417" i="2"/>
  <c r="S416" i="2"/>
  <c r="R416" i="2"/>
  <c r="M416" i="2"/>
  <c r="L416" i="2"/>
  <c r="B416" i="2"/>
  <c r="S415" i="2"/>
  <c r="R415" i="2"/>
  <c r="M415" i="2"/>
  <c r="L415" i="2"/>
  <c r="B415" i="2"/>
  <c r="S414" i="2"/>
  <c r="R414" i="2"/>
  <c r="M414" i="2"/>
  <c r="L414" i="2"/>
  <c r="B414" i="2"/>
  <c r="S413" i="2"/>
  <c r="R413" i="2"/>
  <c r="M413" i="2"/>
  <c r="L413" i="2"/>
  <c r="B413" i="2"/>
  <c r="S412" i="2"/>
  <c r="R412" i="2"/>
  <c r="M412" i="2"/>
  <c r="L412" i="2"/>
  <c r="B412" i="2"/>
  <c r="S411" i="2"/>
  <c r="R411" i="2"/>
  <c r="M411" i="2"/>
  <c r="L411" i="2"/>
  <c r="B411" i="2"/>
  <c r="S410" i="2"/>
  <c r="R410" i="2"/>
  <c r="M410" i="2"/>
  <c r="L410" i="2"/>
  <c r="B410" i="2"/>
  <c r="S409" i="2"/>
  <c r="R409" i="2"/>
  <c r="M409" i="2"/>
  <c r="L409" i="2"/>
  <c r="B409" i="2"/>
  <c r="S408" i="2"/>
  <c r="R408" i="2"/>
  <c r="M408" i="2"/>
  <c r="L408" i="2"/>
  <c r="B408" i="2"/>
  <c r="S407" i="2"/>
  <c r="R407" i="2"/>
  <c r="M407" i="2"/>
  <c r="L407" i="2"/>
  <c r="B407" i="2"/>
  <c r="S406" i="2"/>
  <c r="R406" i="2"/>
  <c r="M406" i="2"/>
  <c r="L406" i="2"/>
  <c r="B406" i="2"/>
  <c r="S405" i="2"/>
  <c r="R405" i="2"/>
  <c r="M405" i="2"/>
  <c r="L405" i="2"/>
  <c r="B405" i="2"/>
  <c r="S404" i="2"/>
  <c r="R404" i="2"/>
  <c r="M404" i="2"/>
  <c r="L404" i="2"/>
  <c r="B404" i="2"/>
  <c r="S403" i="2"/>
  <c r="R403" i="2"/>
  <c r="M403" i="2"/>
  <c r="L403" i="2"/>
  <c r="B403" i="2"/>
  <c r="S402" i="2"/>
  <c r="R402" i="2"/>
  <c r="M402" i="2"/>
  <c r="L402" i="2"/>
  <c r="B402" i="2"/>
  <c r="S401" i="2"/>
  <c r="R401" i="2"/>
  <c r="M401" i="2"/>
  <c r="L401" i="2"/>
  <c r="B401" i="2"/>
  <c r="S400" i="2"/>
  <c r="R400" i="2"/>
  <c r="M400" i="2"/>
  <c r="L400" i="2"/>
  <c r="B400" i="2"/>
  <c r="S399" i="2"/>
  <c r="R399" i="2"/>
  <c r="M399" i="2"/>
  <c r="L399" i="2"/>
  <c r="B399" i="2"/>
  <c r="S398" i="2"/>
  <c r="R398" i="2"/>
  <c r="M398" i="2"/>
  <c r="L398" i="2"/>
  <c r="B398" i="2"/>
  <c r="S397" i="2"/>
  <c r="R397" i="2"/>
  <c r="M397" i="2"/>
  <c r="L397" i="2"/>
  <c r="B397" i="2"/>
  <c r="S396" i="2"/>
  <c r="R396" i="2"/>
  <c r="M396" i="2"/>
  <c r="L396" i="2"/>
  <c r="B396" i="2"/>
  <c r="S395" i="2"/>
  <c r="R395" i="2"/>
  <c r="M395" i="2"/>
  <c r="L395" i="2"/>
  <c r="B395" i="2"/>
  <c r="S394" i="2"/>
  <c r="R394" i="2"/>
  <c r="M394" i="2"/>
  <c r="L394" i="2"/>
  <c r="B394" i="2"/>
  <c r="S393" i="2"/>
  <c r="R393" i="2"/>
  <c r="M393" i="2"/>
  <c r="L393" i="2"/>
  <c r="B393" i="2"/>
  <c r="S392" i="2"/>
  <c r="R392" i="2"/>
  <c r="M392" i="2"/>
  <c r="L392" i="2"/>
  <c r="B392" i="2"/>
  <c r="S391" i="2"/>
  <c r="R391" i="2"/>
  <c r="M391" i="2"/>
  <c r="L391" i="2"/>
  <c r="B391" i="2"/>
  <c r="S390" i="2"/>
  <c r="R390" i="2"/>
  <c r="M390" i="2"/>
  <c r="L390" i="2"/>
  <c r="B390" i="2"/>
  <c r="S389" i="2"/>
  <c r="R389" i="2"/>
  <c r="M389" i="2"/>
  <c r="L389" i="2"/>
  <c r="B389" i="2"/>
  <c r="S388" i="2"/>
  <c r="R388" i="2"/>
  <c r="M388" i="2"/>
  <c r="L388" i="2"/>
  <c r="B388" i="2"/>
  <c r="S387" i="2"/>
  <c r="R387" i="2"/>
  <c r="M387" i="2"/>
  <c r="L387" i="2"/>
  <c r="B387" i="2"/>
  <c r="S386" i="2"/>
  <c r="R386" i="2"/>
  <c r="M386" i="2"/>
  <c r="L386" i="2"/>
  <c r="B386" i="2"/>
  <c r="S385" i="2"/>
  <c r="R385" i="2"/>
  <c r="M385" i="2"/>
  <c r="L385" i="2"/>
  <c r="B385" i="2"/>
  <c r="S384" i="2"/>
  <c r="R384" i="2"/>
  <c r="M384" i="2"/>
  <c r="L384" i="2"/>
  <c r="B384" i="2"/>
  <c r="S383" i="2"/>
  <c r="R383" i="2"/>
  <c r="M383" i="2"/>
  <c r="L383" i="2"/>
  <c r="B383" i="2"/>
  <c r="S382" i="2"/>
  <c r="R382" i="2"/>
  <c r="M382" i="2"/>
  <c r="L382" i="2"/>
  <c r="B382" i="2"/>
  <c r="S381" i="2"/>
  <c r="R381" i="2"/>
  <c r="M381" i="2"/>
  <c r="L381" i="2"/>
  <c r="B381" i="2"/>
  <c r="S380" i="2"/>
  <c r="R380" i="2"/>
  <c r="M380" i="2"/>
  <c r="L380" i="2"/>
  <c r="B380" i="2"/>
  <c r="S379" i="2"/>
  <c r="R379" i="2"/>
  <c r="M379" i="2"/>
  <c r="L379" i="2"/>
  <c r="B379" i="2"/>
  <c r="S378" i="2"/>
  <c r="R378" i="2"/>
  <c r="M378" i="2"/>
  <c r="L378" i="2"/>
  <c r="B378" i="2"/>
  <c r="S377" i="2"/>
  <c r="R377" i="2"/>
  <c r="M377" i="2"/>
  <c r="L377" i="2"/>
  <c r="B377" i="2"/>
  <c r="S376" i="2"/>
  <c r="R376" i="2"/>
  <c r="M376" i="2"/>
  <c r="L376" i="2"/>
  <c r="B376" i="2"/>
  <c r="S375" i="2"/>
  <c r="R375" i="2"/>
  <c r="M375" i="2"/>
  <c r="L375" i="2"/>
  <c r="B375" i="2"/>
  <c r="S374" i="2"/>
  <c r="R374" i="2"/>
  <c r="M374" i="2"/>
  <c r="L374" i="2"/>
  <c r="B374" i="2"/>
  <c r="S373" i="2"/>
  <c r="R373" i="2"/>
  <c r="M373" i="2"/>
  <c r="L373" i="2"/>
  <c r="B373" i="2"/>
  <c r="S372" i="2"/>
  <c r="R372" i="2"/>
  <c r="M372" i="2"/>
  <c r="L372" i="2"/>
  <c r="B372" i="2"/>
  <c r="S371" i="2"/>
  <c r="R371" i="2"/>
  <c r="M371" i="2"/>
  <c r="L371" i="2"/>
  <c r="B371" i="2"/>
  <c r="S370" i="2"/>
  <c r="R370" i="2"/>
  <c r="M370" i="2"/>
  <c r="L370" i="2"/>
  <c r="B370" i="2"/>
  <c r="S369" i="2"/>
  <c r="R369" i="2"/>
  <c r="M369" i="2"/>
  <c r="L369" i="2"/>
  <c r="B369" i="2"/>
  <c r="S368" i="2"/>
  <c r="R368" i="2"/>
  <c r="M368" i="2"/>
  <c r="L368" i="2"/>
  <c r="B368" i="2"/>
  <c r="S367" i="2"/>
  <c r="R367" i="2"/>
  <c r="M367" i="2"/>
  <c r="L367" i="2"/>
  <c r="B367" i="2"/>
  <c r="S366" i="2"/>
  <c r="R366" i="2"/>
  <c r="M366" i="2"/>
  <c r="L366" i="2"/>
  <c r="B366" i="2"/>
  <c r="S365" i="2"/>
  <c r="R365" i="2"/>
  <c r="M365" i="2"/>
  <c r="L365" i="2"/>
  <c r="B365" i="2"/>
  <c r="S364" i="2"/>
  <c r="R364" i="2"/>
  <c r="M364" i="2"/>
  <c r="L364" i="2"/>
  <c r="B364" i="2"/>
  <c r="S363" i="2"/>
  <c r="R363" i="2"/>
  <c r="M363" i="2"/>
  <c r="L363" i="2"/>
  <c r="B363" i="2"/>
  <c r="S362" i="2"/>
  <c r="R362" i="2"/>
  <c r="M362" i="2"/>
  <c r="L362" i="2"/>
  <c r="B362" i="2"/>
  <c r="S361" i="2"/>
  <c r="R361" i="2"/>
  <c r="M361" i="2"/>
  <c r="L361" i="2"/>
  <c r="B361" i="2"/>
  <c r="S360" i="2"/>
  <c r="R360" i="2"/>
  <c r="M360" i="2"/>
  <c r="L360" i="2"/>
  <c r="B360" i="2"/>
  <c r="S359" i="2"/>
  <c r="R359" i="2"/>
  <c r="M359" i="2"/>
  <c r="L359" i="2"/>
  <c r="B359" i="2"/>
  <c r="S358" i="2"/>
  <c r="R358" i="2"/>
  <c r="M358" i="2"/>
  <c r="L358" i="2"/>
  <c r="B358" i="2"/>
  <c r="S357" i="2"/>
  <c r="R357" i="2"/>
  <c r="M357" i="2"/>
  <c r="L357" i="2"/>
  <c r="B357" i="2"/>
  <c r="S356" i="2"/>
  <c r="R356" i="2"/>
  <c r="M356" i="2"/>
  <c r="L356" i="2"/>
  <c r="B356" i="2"/>
  <c r="S355" i="2"/>
  <c r="R355" i="2"/>
  <c r="M355" i="2"/>
  <c r="L355" i="2"/>
  <c r="B355" i="2"/>
  <c r="S354" i="2"/>
  <c r="R354" i="2"/>
  <c r="M354" i="2"/>
  <c r="L354" i="2"/>
  <c r="B354" i="2"/>
  <c r="S353" i="2"/>
  <c r="R353" i="2"/>
  <c r="M353" i="2"/>
  <c r="L353" i="2"/>
  <c r="B353" i="2"/>
  <c r="S352" i="2"/>
  <c r="R352" i="2"/>
  <c r="M352" i="2"/>
  <c r="L352" i="2"/>
  <c r="B352" i="2"/>
  <c r="S351" i="2"/>
  <c r="R351" i="2"/>
  <c r="M351" i="2"/>
  <c r="L351" i="2"/>
  <c r="B351" i="2"/>
  <c r="S350" i="2"/>
  <c r="R350" i="2"/>
  <c r="M350" i="2"/>
  <c r="L350" i="2"/>
  <c r="B350" i="2"/>
  <c r="S349" i="2"/>
  <c r="R349" i="2"/>
  <c r="M349" i="2"/>
  <c r="L349" i="2"/>
  <c r="B349" i="2"/>
  <c r="S348" i="2"/>
  <c r="R348" i="2"/>
  <c r="M348" i="2"/>
  <c r="L348" i="2"/>
  <c r="B348" i="2"/>
  <c r="S347" i="2"/>
  <c r="R347" i="2"/>
  <c r="M347" i="2"/>
  <c r="L347" i="2"/>
  <c r="B347" i="2"/>
  <c r="S346" i="2"/>
  <c r="R346" i="2"/>
  <c r="M346" i="2"/>
  <c r="L346" i="2"/>
  <c r="B346" i="2"/>
  <c r="S345" i="2"/>
  <c r="R345" i="2"/>
  <c r="M345" i="2"/>
  <c r="L345" i="2"/>
  <c r="B345" i="2"/>
  <c r="S344" i="2"/>
  <c r="R344" i="2"/>
  <c r="M344" i="2"/>
  <c r="L344" i="2"/>
  <c r="B344" i="2"/>
  <c r="S343" i="2"/>
  <c r="R343" i="2"/>
  <c r="M343" i="2"/>
  <c r="L343" i="2"/>
  <c r="B343" i="2"/>
  <c r="S342" i="2"/>
  <c r="R342" i="2"/>
  <c r="M342" i="2"/>
  <c r="L342" i="2"/>
  <c r="B342" i="2"/>
  <c r="S341" i="2"/>
  <c r="R341" i="2"/>
  <c r="M341" i="2"/>
  <c r="L341" i="2"/>
  <c r="B341" i="2"/>
  <c r="S340" i="2"/>
  <c r="R340" i="2"/>
  <c r="M340" i="2"/>
  <c r="L340" i="2"/>
  <c r="B340" i="2"/>
  <c r="S339" i="2"/>
  <c r="R339" i="2"/>
  <c r="M339" i="2"/>
  <c r="L339" i="2"/>
  <c r="B339" i="2"/>
  <c r="S338" i="2"/>
  <c r="R338" i="2"/>
  <c r="M338" i="2"/>
  <c r="L338" i="2"/>
  <c r="B338" i="2"/>
  <c r="S337" i="2"/>
  <c r="R337" i="2"/>
  <c r="M337" i="2"/>
  <c r="L337" i="2"/>
  <c r="B337" i="2"/>
  <c r="S336" i="2"/>
  <c r="R336" i="2"/>
  <c r="M336" i="2"/>
  <c r="L336" i="2"/>
  <c r="B336" i="2"/>
  <c r="S335" i="2"/>
  <c r="R335" i="2"/>
  <c r="M335" i="2"/>
  <c r="L335" i="2"/>
  <c r="B335" i="2"/>
  <c r="S334" i="2"/>
  <c r="R334" i="2"/>
  <c r="M334" i="2"/>
  <c r="L334" i="2"/>
  <c r="B334" i="2"/>
  <c r="S333" i="2"/>
  <c r="R333" i="2"/>
  <c r="M333" i="2"/>
  <c r="L333" i="2"/>
  <c r="B333" i="2"/>
  <c r="S332" i="2"/>
  <c r="R332" i="2"/>
  <c r="M332" i="2"/>
  <c r="L332" i="2"/>
  <c r="B332" i="2"/>
  <c r="S331" i="2"/>
  <c r="R331" i="2"/>
  <c r="M331" i="2"/>
  <c r="L331" i="2"/>
  <c r="B331" i="2"/>
  <c r="S330" i="2"/>
  <c r="R330" i="2"/>
  <c r="M330" i="2"/>
  <c r="L330" i="2"/>
  <c r="B330" i="2"/>
  <c r="S329" i="2"/>
  <c r="R329" i="2"/>
  <c r="M329" i="2"/>
  <c r="L329" i="2"/>
  <c r="B329" i="2"/>
  <c r="S328" i="2"/>
  <c r="R328" i="2"/>
  <c r="M328" i="2"/>
  <c r="L328" i="2"/>
  <c r="B328" i="2"/>
  <c r="S327" i="2"/>
  <c r="R327" i="2"/>
  <c r="M327" i="2"/>
  <c r="L327" i="2"/>
  <c r="B327" i="2"/>
  <c r="S326" i="2"/>
  <c r="R326" i="2"/>
  <c r="M326" i="2"/>
  <c r="L326" i="2"/>
  <c r="B326" i="2"/>
  <c r="S325" i="2"/>
  <c r="R325" i="2"/>
  <c r="M325" i="2"/>
  <c r="L325" i="2"/>
  <c r="B325" i="2"/>
  <c r="S324" i="2"/>
  <c r="R324" i="2"/>
  <c r="M324" i="2"/>
  <c r="L324" i="2"/>
  <c r="B324" i="2"/>
  <c r="S323" i="2"/>
  <c r="R323" i="2"/>
  <c r="M323" i="2"/>
  <c r="L323" i="2"/>
  <c r="B323" i="2"/>
  <c r="S322" i="2"/>
  <c r="R322" i="2"/>
  <c r="M322" i="2"/>
  <c r="L322" i="2"/>
  <c r="B322" i="2"/>
  <c r="S321" i="2"/>
  <c r="R321" i="2"/>
  <c r="M321" i="2"/>
  <c r="L321" i="2"/>
  <c r="B321" i="2"/>
  <c r="S320" i="2"/>
  <c r="R320" i="2"/>
  <c r="M320" i="2"/>
  <c r="L320" i="2"/>
  <c r="B320" i="2"/>
  <c r="S319" i="2"/>
  <c r="R319" i="2"/>
  <c r="M319" i="2"/>
  <c r="L319" i="2"/>
  <c r="B319" i="2"/>
  <c r="S318" i="2"/>
  <c r="R318" i="2"/>
  <c r="M318" i="2"/>
  <c r="L318" i="2"/>
  <c r="B318" i="2"/>
  <c r="S317" i="2"/>
  <c r="R317" i="2"/>
  <c r="M317" i="2"/>
  <c r="L317" i="2"/>
  <c r="B317" i="2"/>
  <c r="S316" i="2"/>
  <c r="R316" i="2"/>
  <c r="M316" i="2"/>
  <c r="L316" i="2"/>
  <c r="B316" i="2"/>
  <c r="S315" i="2"/>
  <c r="R315" i="2"/>
  <c r="M315" i="2"/>
  <c r="L315" i="2"/>
  <c r="B315" i="2"/>
  <c r="S314" i="2"/>
  <c r="R314" i="2"/>
  <c r="M314" i="2"/>
  <c r="L314" i="2"/>
  <c r="B314" i="2"/>
  <c r="S313" i="2"/>
  <c r="R313" i="2"/>
  <c r="M313" i="2"/>
  <c r="L313" i="2"/>
  <c r="B313" i="2"/>
  <c r="S312" i="2"/>
  <c r="R312" i="2"/>
  <c r="M312" i="2"/>
  <c r="L312" i="2"/>
  <c r="B312" i="2"/>
  <c r="S311" i="2"/>
  <c r="R311" i="2"/>
  <c r="M311" i="2"/>
  <c r="L311" i="2"/>
  <c r="B311" i="2"/>
  <c r="S310" i="2"/>
  <c r="R310" i="2"/>
  <c r="M310" i="2"/>
  <c r="L310" i="2"/>
  <c r="B310" i="2"/>
  <c r="S309" i="2"/>
  <c r="R309" i="2"/>
  <c r="M309" i="2"/>
  <c r="L309" i="2"/>
  <c r="B309" i="2"/>
  <c r="S308" i="2"/>
  <c r="R308" i="2"/>
  <c r="M308" i="2"/>
  <c r="L308" i="2"/>
  <c r="B308" i="2"/>
  <c r="S307" i="2"/>
  <c r="R307" i="2"/>
  <c r="M307" i="2"/>
  <c r="L307" i="2"/>
  <c r="B307" i="2"/>
  <c r="S306" i="2"/>
  <c r="R306" i="2"/>
  <c r="M306" i="2"/>
  <c r="L306" i="2"/>
  <c r="B306" i="2"/>
  <c r="S305" i="2"/>
  <c r="R305" i="2"/>
  <c r="M305" i="2"/>
  <c r="L305" i="2"/>
  <c r="B305" i="2"/>
  <c r="S304" i="2"/>
  <c r="R304" i="2"/>
  <c r="M304" i="2"/>
  <c r="L304" i="2"/>
  <c r="B304" i="2"/>
  <c r="S303" i="2"/>
  <c r="R303" i="2"/>
  <c r="M303" i="2"/>
  <c r="L303" i="2"/>
  <c r="B303" i="2"/>
  <c r="S302" i="2"/>
  <c r="R302" i="2"/>
  <c r="M302" i="2"/>
  <c r="L302" i="2"/>
  <c r="B302" i="2"/>
  <c r="S301" i="2"/>
  <c r="R301" i="2"/>
  <c r="M301" i="2"/>
  <c r="L301" i="2"/>
  <c r="B301" i="2"/>
  <c r="S300" i="2"/>
  <c r="R300" i="2"/>
  <c r="M300" i="2"/>
  <c r="L300" i="2"/>
  <c r="B300" i="2"/>
  <c r="S299" i="2"/>
  <c r="R299" i="2"/>
  <c r="M299" i="2"/>
  <c r="L299" i="2"/>
  <c r="B299" i="2"/>
  <c r="S298" i="2"/>
  <c r="R298" i="2"/>
  <c r="M298" i="2"/>
  <c r="L298" i="2"/>
  <c r="B298" i="2"/>
  <c r="S297" i="2"/>
  <c r="R297" i="2"/>
  <c r="M297" i="2"/>
  <c r="L297" i="2"/>
  <c r="B297" i="2"/>
  <c r="S296" i="2"/>
  <c r="R296" i="2"/>
  <c r="M296" i="2"/>
  <c r="L296" i="2"/>
  <c r="B296" i="2"/>
  <c r="S295" i="2"/>
  <c r="R295" i="2"/>
  <c r="M295" i="2"/>
  <c r="L295" i="2"/>
  <c r="B295" i="2"/>
  <c r="S294" i="2"/>
  <c r="R294" i="2"/>
  <c r="M294" i="2"/>
  <c r="L294" i="2"/>
  <c r="B294" i="2"/>
  <c r="S293" i="2"/>
  <c r="R293" i="2"/>
  <c r="M293" i="2"/>
  <c r="L293" i="2"/>
  <c r="B293" i="2"/>
  <c r="S292" i="2"/>
  <c r="R292" i="2"/>
  <c r="M292" i="2"/>
  <c r="L292" i="2"/>
  <c r="F292" i="2"/>
  <c r="B292" i="2"/>
  <c r="S291" i="2"/>
  <c r="R291" i="2"/>
  <c r="M291" i="2"/>
  <c r="L291" i="2"/>
  <c r="F291" i="2"/>
  <c r="B291" i="2"/>
  <c r="S290" i="2"/>
  <c r="R290" i="2"/>
  <c r="M290" i="2"/>
  <c r="L290" i="2"/>
  <c r="F290" i="2"/>
  <c r="B290" i="2"/>
  <c r="S289" i="2"/>
  <c r="R289" i="2"/>
  <c r="M289" i="2"/>
  <c r="L289" i="2"/>
  <c r="F289" i="2"/>
  <c r="B289" i="2"/>
  <c r="S288" i="2"/>
  <c r="R288" i="2"/>
  <c r="M288" i="2"/>
  <c r="L288" i="2"/>
  <c r="F288" i="2"/>
  <c r="B288" i="2"/>
  <c r="S287" i="2"/>
  <c r="R287" i="2"/>
  <c r="M287" i="2"/>
  <c r="L287" i="2"/>
  <c r="F287" i="2"/>
  <c r="B287" i="2"/>
  <c r="S286" i="2"/>
  <c r="R286" i="2"/>
  <c r="M286" i="2"/>
  <c r="L286" i="2"/>
  <c r="F286" i="2"/>
  <c r="B286" i="2"/>
  <c r="S285" i="2"/>
  <c r="R285" i="2"/>
  <c r="M285" i="2"/>
  <c r="L285" i="2"/>
  <c r="F285" i="2"/>
  <c r="B285" i="2"/>
  <c r="S284" i="2"/>
  <c r="R284" i="2"/>
  <c r="M284" i="2"/>
  <c r="L284" i="2"/>
  <c r="F284" i="2"/>
  <c r="B284" i="2"/>
  <c r="S283" i="2"/>
  <c r="R283" i="2"/>
  <c r="M283" i="2"/>
  <c r="L283" i="2"/>
  <c r="F283" i="2"/>
  <c r="B283" i="2"/>
  <c r="S282" i="2"/>
  <c r="R282" i="2"/>
  <c r="M282" i="2"/>
  <c r="L282" i="2"/>
  <c r="F282" i="2"/>
  <c r="B282" i="2"/>
  <c r="S281" i="2"/>
  <c r="R281" i="2"/>
  <c r="M281" i="2"/>
  <c r="L281" i="2"/>
  <c r="F281" i="2"/>
  <c r="B281" i="2"/>
  <c r="S280" i="2"/>
  <c r="R280" i="2"/>
  <c r="M280" i="2"/>
  <c r="L280" i="2"/>
  <c r="F280" i="2"/>
  <c r="B280" i="2"/>
  <c r="S279" i="2"/>
  <c r="R279" i="2"/>
  <c r="M279" i="2"/>
  <c r="L279" i="2"/>
  <c r="F279" i="2"/>
  <c r="B279" i="2"/>
  <c r="S278" i="2"/>
  <c r="R278" i="2"/>
  <c r="M278" i="2"/>
  <c r="L278" i="2"/>
  <c r="F278" i="2"/>
  <c r="B278" i="2"/>
  <c r="S277" i="2"/>
  <c r="R277" i="2"/>
  <c r="M277" i="2"/>
  <c r="L277" i="2"/>
  <c r="F277" i="2"/>
  <c r="B277" i="2"/>
  <c r="S276" i="2"/>
  <c r="R276" i="2"/>
  <c r="M276" i="2"/>
  <c r="L276" i="2"/>
  <c r="F276" i="2"/>
  <c r="B276" i="2"/>
  <c r="S275" i="2"/>
  <c r="R275" i="2"/>
  <c r="M275" i="2"/>
  <c r="L275" i="2"/>
  <c r="F275" i="2"/>
  <c r="B275" i="2"/>
  <c r="S274" i="2"/>
  <c r="R274" i="2"/>
  <c r="M274" i="2"/>
  <c r="L274" i="2"/>
  <c r="F274" i="2"/>
  <c r="B274" i="2"/>
  <c r="S273" i="2"/>
  <c r="R273" i="2"/>
  <c r="M273" i="2"/>
  <c r="L273" i="2"/>
  <c r="F273" i="2"/>
  <c r="B273" i="2"/>
  <c r="S272" i="2"/>
  <c r="R272" i="2"/>
  <c r="M272" i="2"/>
  <c r="L272" i="2"/>
  <c r="F272" i="2"/>
  <c r="B272" i="2"/>
  <c r="S271" i="2"/>
  <c r="R271" i="2"/>
  <c r="M271" i="2"/>
  <c r="L271" i="2"/>
  <c r="F271" i="2"/>
  <c r="B271" i="2"/>
  <c r="S270" i="2"/>
  <c r="R270" i="2"/>
  <c r="M270" i="2"/>
  <c r="L270" i="2"/>
  <c r="F270" i="2"/>
  <c r="B270" i="2"/>
  <c r="S269" i="2"/>
  <c r="R269" i="2"/>
  <c r="M269" i="2"/>
  <c r="L269" i="2"/>
  <c r="F269" i="2"/>
  <c r="B269" i="2"/>
  <c r="S268" i="2"/>
  <c r="R268" i="2"/>
  <c r="M268" i="2"/>
  <c r="L268" i="2"/>
  <c r="F268" i="2"/>
  <c r="B268" i="2"/>
  <c r="S267" i="2"/>
  <c r="R267" i="2"/>
  <c r="M267" i="2"/>
  <c r="L267" i="2"/>
  <c r="F267" i="2"/>
  <c r="B267" i="2"/>
  <c r="S266" i="2"/>
  <c r="R266" i="2"/>
  <c r="M266" i="2"/>
  <c r="L266" i="2"/>
  <c r="F266" i="2"/>
  <c r="B266" i="2"/>
  <c r="S265" i="2"/>
  <c r="R265" i="2"/>
  <c r="M265" i="2"/>
  <c r="L265" i="2"/>
  <c r="F265" i="2"/>
  <c r="B265" i="2"/>
  <c r="S264" i="2"/>
  <c r="R264" i="2"/>
  <c r="M264" i="2"/>
  <c r="L264" i="2"/>
  <c r="F264" i="2"/>
  <c r="B264" i="2"/>
  <c r="S263" i="2"/>
  <c r="R263" i="2"/>
  <c r="M263" i="2"/>
  <c r="L263" i="2"/>
  <c r="F263" i="2"/>
  <c r="B263" i="2"/>
  <c r="S262" i="2"/>
  <c r="R262" i="2"/>
  <c r="M262" i="2"/>
  <c r="L262" i="2"/>
  <c r="F262" i="2"/>
  <c r="B262" i="2"/>
  <c r="S261" i="2"/>
  <c r="R261" i="2"/>
  <c r="M261" i="2"/>
  <c r="L261" i="2"/>
  <c r="F261" i="2"/>
  <c r="B261" i="2"/>
  <c r="S260" i="2"/>
  <c r="R260" i="2"/>
  <c r="M260" i="2"/>
  <c r="L260" i="2"/>
  <c r="F260" i="2"/>
  <c r="B260" i="2"/>
  <c r="S259" i="2"/>
  <c r="R259" i="2"/>
  <c r="M259" i="2"/>
  <c r="L259" i="2"/>
  <c r="F259" i="2"/>
  <c r="B259" i="2"/>
  <c r="S258" i="2"/>
  <c r="R258" i="2"/>
  <c r="M258" i="2"/>
  <c r="L258" i="2"/>
  <c r="F258" i="2"/>
  <c r="B258" i="2"/>
  <c r="S257" i="2"/>
  <c r="R257" i="2"/>
  <c r="M257" i="2"/>
  <c r="L257" i="2"/>
  <c r="F257" i="2"/>
  <c r="B257" i="2"/>
  <c r="S256" i="2"/>
  <c r="R256" i="2"/>
  <c r="M256" i="2"/>
  <c r="L256" i="2"/>
  <c r="F256" i="2"/>
  <c r="B256" i="2"/>
  <c r="S255" i="2"/>
  <c r="R255" i="2"/>
  <c r="M255" i="2"/>
  <c r="L255" i="2"/>
  <c r="F255" i="2"/>
  <c r="B255" i="2"/>
  <c r="S254" i="2"/>
  <c r="R254" i="2"/>
  <c r="M254" i="2"/>
  <c r="L254" i="2"/>
  <c r="F254" i="2"/>
  <c r="B254" i="2"/>
  <c r="S253" i="2"/>
  <c r="R253" i="2"/>
  <c r="M253" i="2"/>
  <c r="L253" i="2"/>
  <c r="F253" i="2"/>
  <c r="B253" i="2"/>
  <c r="S252" i="2"/>
  <c r="R252" i="2"/>
  <c r="M252" i="2"/>
  <c r="L252" i="2"/>
  <c r="F252" i="2"/>
  <c r="B252" i="2"/>
  <c r="S251" i="2"/>
  <c r="R251" i="2"/>
  <c r="M251" i="2"/>
  <c r="L251" i="2"/>
  <c r="F251" i="2"/>
  <c r="B251" i="2"/>
  <c r="S250" i="2"/>
  <c r="R250" i="2"/>
  <c r="M250" i="2"/>
  <c r="L250" i="2"/>
  <c r="F250" i="2"/>
  <c r="B250" i="2"/>
  <c r="S249" i="2"/>
  <c r="R249" i="2"/>
  <c r="M249" i="2"/>
  <c r="L249" i="2"/>
  <c r="F249" i="2"/>
  <c r="B249" i="2"/>
  <c r="S248" i="2"/>
  <c r="R248" i="2"/>
  <c r="M248" i="2"/>
  <c r="L248" i="2"/>
  <c r="F248" i="2"/>
  <c r="B248" i="2"/>
  <c r="S247" i="2"/>
  <c r="R247" i="2"/>
  <c r="M247" i="2"/>
  <c r="L247" i="2"/>
  <c r="F247" i="2"/>
  <c r="B247" i="2"/>
  <c r="S246" i="2"/>
  <c r="R246" i="2"/>
  <c r="M246" i="2"/>
  <c r="L246" i="2"/>
  <c r="F246" i="2"/>
  <c r="B246" i="2"/>
  <c r="S245" i="2"/>
  <c r="R245" i="2"/>
  <c r="M245" i="2"/>
  <c r="L245" i="2"/>
  <c r="F245" i="2"/>
  <c r="B245" i="2"/>
  <c r="S244" i="2"/>
  <c r="R244" i="2"/>
  <c r="M244" i="2"/>
  <c r="L244" i="2"/>
  <c r="F244" i="2"/>
  <c r="B244" i="2"/>
  <c r="S243" i="2"/>
  <c r="R243" i="2"/>
  <c r="M243" i="2"/>
  <c r="L243" i="2"/>
  <c r="F243" i="2"/>
  <c r="B243" i="2"/>
  <c r="S242" i="2"/>
  <c r="R242" i="2"/>
  <c r="M242" i="2"/>
  <c r="L242" i="2"/>
  <c r="F242" i="2"/>
  <c r="B242" i="2"/>
  <c r="S241" i="2"/>
  <c r="R241" i="2"/>
  <c r="M241" i="2"/>
  <c r="L241" i="2"/>
  <c r="F241" i="2"/>
  <c r="B241" i="2"/>
  <c r="S240" i="2"/>
  <c r="R240" i="2"/>
  <c r="M240" i="2"/>
  <c r="L240" i="2"/>
  <c r="F240" i="2"/>
  <c r="B240" i="2"/>
  <c r="S239" i="2"/>
  <c r="R239" i="2"/>
  <c r="M239" i="2"/>
  <c r="L239" i="2"/>
  <c r="F239" i="2"/>
  <c r="B239" i="2"/>
  <c r="S238" i="2"/>
  <c r="R238" i="2"/>
  <c r="M238" i="2"/>
  <c r="L238" i="2"/>
  <c r="F238" i="2"/>
  <c r="B238" i="2"/>
  <c r="S237" i="2"/>
  <c r="R237" i="2"/>
  <c r="M237" i="2"/>
  <c r="L237" i="2"/>
  <c r="F237" i="2"/>
  <c r="B237" i="2"/>
  <c r="S236" i="2"/>
  <c r="R236" i="2"/>
  <c r="M236" i="2"/>
  <c r="L236" i="2"/>
  <c r="F236" i="2"/>
  <c r="B236" i="2"/>
  <c r="S235" i="2"/>
  <c r="R235" i="2"/>
  <c r="M235" i="2"/>
  <c r="L235" i="2"/>
  <c r="F235" i="2"/>
  <c r="B235" i="2"/>
  <c r="S234" i="2"/>
  <c r="R234" i="2"/>
  <c r="M234" i="2"/>
  <c r="L234" i="2"/>
  <c r="F234" i="2"/>
  <c r="B234" i="2"/>
  <c r="S233" i="2"/>
  <c r="R233" i="2"/>
  <c r="M233" i="2"/>
  <c r="L233" i="2"/>
  <c r="F233" i="2"/>
  <c r="B233" i="2"/>
  <c r="S232" i="2"/>
  <c r="R232" i="2"/>
  <c r="M232" i="2"/>
  <c r="L232" i="2"/>
  <c r="F232" i="2"/>
  <c r="B232" i="2"/>
  <c r="S231" i="2"/>
  <c r="R231" i="2"/>
  <c r="M231" i="2"/>
  <c r="L231" i="2"/>
  <c r="F231" i="2"/>
  <c r="B231" i="2"/>
  <c r="S230" i="2"/>
  <c r="R230" i="2"/>
  <c r="M230" i="2"/>
  <c r="L230" i="2"/>
  <c r="F230" i="2"/>
  <c r="B230" i="2"/>
  <c r="S229" i="2"/>
  <c r="R229" i="2"/>
  <c r="M229" i="2"/>
  <c r="L229" i="2"/>
  <c r="F229" i="2"/>
  <c r="B229" i="2"/>
  <c r="S228" i="2"/>
  <c r="R228" i="2"/>
  <c r="M228" i="2"/>
  <c r="L228" i="2"/>
  <c r="F228" i="2"/>
  <c r="B228" i="2"/>
  <c r="S227" i="2"/>
  <c r="R227" i="2"/>
  <c r="M227" i="2"/>
  <c r="L227" i="2"/>
  <c r="F227" i="2"/>
  <c r="B227" i="2"/>
  <c r="S226" i="2"/>
  <c r="R226" i="2"/>
  <c r="M226" i="2"/>
  <c r="L226" i="2"/>
  <c r="F226" i="2"/>
  <c r="B226" i="2"/>
  <c r="S225" i="2"/>
  <c r="R225" i="2"/>
  <c r="M225" i="2"/>
  <c r="L225" i="2"/>
  <c r="F225" i="2"/>
  <c r="B225" i="2"/>
  <c r="S224" i="2"/>
  <c r="R224" i="2"/>
  <c r="M224" i="2"/>
  <c r="L224" i="2"/>
  <c r="F224" i="2"/>
  <c r="B224" i="2"/>
  <c r="S223" i="2"/>
  <c r="R223" i="2"/>
  <c r="M223" i="2"/>
  <c r="L223" i="2"/>
  <c r="F223" i="2"/>
  <c r="B223" i="2"/>
  <c r="S222" i="2"/>
  <c r="R222" i="2"/>
  <c r="M222" i="2"/>
  <c r="L222" i="2"/>
  <c r="F222" i="2"/>
  <c r="B222" i="2"/>
  <c r="S221" i="2"/>
  <c r="R221" i="2"/>
  <c r="M221" i="2"/>
  <c r="L221" i="2"/>
  <c r="F221" i="2"/>
  <c r="B221" i="2"/>
  <c r="S220" i="2"/>
  <c r="R220" i="2"/>
  <c r="M220" i="2"/>
  <c r="L220" i="2"/>
  <c r="F220" i="2"/>
  <c r="B220" i="2"/>
  <c r="S219" i="2"/>
  <c r="R219" i="2"/>
  <c r="M219" i="2"/>
  <c r="L219" i="2"/>
  <c r="F219" i="2"/>
  <c r="B219" i="2"/>
  <c r="S218" i="2"/>
  <c r="R218" i="2"/>
  <c r="M218" i="2"/>
  <c r="L218" i="2"/>
  <c r="F218" i="2"/>
  <c r="B218" i="2"/>
  <c r="S217" i="2"/>
  <c r="R217" i="2"/>
  <c r="M217" i="2"/>
  <c r="L217" i="2"/>
  <c r="F217" i="2"/>
  <c r="B217" i="2"/>
  <c r="S216" i="2"/>
  <c r="R216" i="2"/>
  <c r="M216" i="2"/>
  <c r="L216" i="2"/>
  <c r="F216" i="2"/>
  <c r="B216" i="2"/>
  <c r="S215" i="2"/>
  <c r="R215" i="2"/>
  <c r="M215" i="2"/>
  <c r="L215" i="2"/>
  <c r="F215" i="2"/>
  <c r="B215" i="2"/>
  <c r="S214" i="2"/>
  <c r="R214" i="2"/>
  <c r="M214" i="2"/>
  <c r="L214" i="2"/>
  <c r="F214" i="2"/>
  <c r="B214" i="2"/>
  <c r="S213" i="2"/>
  <c r="R213" i="2"/>
  <c r="M213" i="2"/>
  <c r="L213" i="2"/>
  <c r="F213" i="2"/>
  <c r="B213" i="2"/>
  <c r="S212" i="2"/>
  <c r="R212" i="2"/>
  <c r="M212" i="2"/>
  <c r="L212" i="2"/>
  <c r="F212" i="2"/>
  <c r="B212" i="2"/>
  <c r="S211" i="2"/>
  <c r="R211" i="2"/>
  <c r="M211" i="2"/>
  <c r="L211" i="2"/>
  <c r="F211" i="2"/>
  <c r="B211" i="2"/>
  <c r="S210" i="2"/>
  <c r="R210" i="2"/>
  <c r="M210" i="2"/>
  <c r="L210" i="2"/>
  <c r="F210" i="2"/>
  <c r="B210" i="2"/>
  <c r="S209" i="2"/>
  <c r="R209" i="2"/>
  <c r="M209" i="2"/>
  <c r="L209" i="2"/>
  <c r="F209" i="2"/>
  <c r="B209" i="2"/>
  <c r="S208" i="2"/>
  <c r="R208" i="2"/>
  <c r="M208" i="2"/>
  <c r="L208" i="2"/>
  <c r="F208" i="2"/>
  <c r="B208" i="2"/>
  <c r="S207" i="2"/>
  <c r="R207" i="2"/>
  <c r="M207" i="2"/>
  <c r="L207" i="2"/>
  <c r="F207" i="2"/>
  <c r="B207" i="2"/>
  <c r="S206" i="2"/>
  <c r="R206" i="2"/>
  <c r="M206" i="2"/>
  <c r="L206" i="2"/>
  <c r="F206" i="2"/>
  <c r="B206" i="2"/>
  <c r="S205" i="2"/>
  <c r="R205" i="2"/>
  <c r="M205" i="2"/>
  <c r="L205" i="2"/>
  <c r="F205" i="2"/>
  <c r="B205" i="2"/>
  <c r="S204" i="2"/>
  <c r="R204" i="2"/>
  <c r="M204" i="2"/>
  <c r="L204" i="2"/>
  <c r="F204" i="2"/>
  <c r="B204" i="2"/>
  <c r="S203" i="2"/>
  <c r="R203" i="2"/>
  <c r="M203" i="2"/>
  <c r="L203" i="2"/>
  <c r="F203" i="2"/>
  <c r="B203" i="2"/>
  <c r="S202" i="2"/>
  <c r="R202" i="2"/>
  <c r="M202" i="2"/>
  <c r="L202" i="2"/>
  <c r="F202" i="2"/>
  <c r="B202" i="2"/>
  <c r="S201" i="2"/>
  <c r="R201" i="2"/>
  <c r="M201" i="2"/>
  <c r="L201" i="2"/>
  <c r="F201" i="2"/>
  <c r="B201" i="2"/>
  <c r="S200" i="2"/>
  <c r="R200" i="2"/>
  <c r="M200" i="2"/>
  <c r="L200" i="2"/>
  <c r="F200" i="2"/>
  <c r="B200" i="2"/>
  <c r="S199" i="2"/>
  <c r="R199" i="2"/>
  <c r="M199" i="2"/>
  <c r="L199" i="2"/>
  <c r="F199" i="2"/>
  <c r="B199" i="2"/>
  <c r="S198" i="2"/>
  <c r="R198" i="2"/>
  <c r="M198" i="2"/>
  <c r="L198" i="2"/>
  <c r="F198" i="2"/>
  <c r="B198" i="2"/>
  <c r="S197" i="2"/>
  <c r="R197" i="2"/>
  <c r="M197" i="2"/>
  <c r="L197" i="2"/>
  <c r="F197" i="2"/>
  <c r="B197" i="2"/>
  <c r="S196" i="2"/>
  <c r="R196" i="2"/>
  <c r="M196" i="2"/>
  <c r="L196" i="2"/>
  <c r="F196" i="2"/>
  <c r="B196" i="2"/>
  <c r="S195" i="2"/>
  <c r="R195" i="2"/>
  <c r="M195" i="2"/>
  <c r="L195" i="2"/>
  <c r="F195" i="2"/>
  <c r="B195" i="2"/>
  <c r="S194" i="2"/>
  <c r="R194" i="2"/>
  <c r="M194" i="2"/>
  <c r="L194" i="2"/>
  <c r="F194" i="2"/>
  <c r="B194" i="2"/>
  <c r="S193" i="2"/>
  <c r="R193" i="2"/>
  <c r="M193" i="2"/>
  <c r="L193" i="2"/>
  <c r="F193" i="2"/>
  <c r="B193" i="2"/>
  <c r="S192" i="2"/>
  <c r="R192" i="2"/>
  <c r="M192" i="2"/>
  <c r="L192" i="2"/>
  <c r="F192" i="2"/>
  <c r="B192" i="2"/>
  <c r="S191" i="2"/>
  <c r="R191" i="2"/>
  <c r="M191" i="2"/>
  <c r="L191" i="2"/>
  <c r="F191" i="2"/>
  <c r="B191" i="2"/>
  <c r="S190" i="2"/>
  <c r="R190" i="2"/>
  <c r="M190" i="2"/>
  <c r="L190" i="2"/>
  <c r="F190" i="2"/>
  <c r="B190" i="2"/>
  <c r="S189" i="2"/>
  <c r="R189" i="2"/>
  <c r="M189" i="2"/>
  <c r="L189" i="2"/>
  <c r="F189" i="2"/>
  <c r="B189" i="2"/>
  <c r="S188" i="2"/>
  <c r="R188" i="2"/>
  <c r="M188" i="2"/>
  <c r="L188" i="2"/>
  <c r="F188" i="2"/>
  <c r="B188" i="2"/>
  <c r="S187" i="2"/>
  <c r="R187" i="2"/>
  <c r="M187" i="2"/>
  <c r="L187" i="2"/>
  <c r="F187" i="2"/>
  <c r="B187" i="2"/>
  <c r="S186" i="2"/>
  <c r="R186" i="2"/>
  <c r="M186" i="2"/>
  <c r="L186" i="2"/>
  <c r="F186" i="2"/>
  <c r="B186" i="2"/>
  <c r="S185" i="2"/>
  <c r="R185" i="2"/>
  <c r="M185" i="2"/>
  <c r="L185" i="2"/>
  <c r="F185" i="2"/>
  <c r="B185" i="2"/>
  <c r="S184" i="2"/>
  <c r="R184" i="2"/>
  <c r="M184" i="2"/>
  <c r="L184" i="2"/>
  <c r="F184" i="2"/>
  <c r="B184" i="2"/>
  <c r="S183" i="2"/>
  <c r="R183" i="2"/>
  <c r="M183" i="2"/>
  <c r="L183" i="2"/>
  <c r="F183" i="2"/>
  <c r="B183" i="2"/>
  <c r="S182" i="2"/>
  <c r="R182" i="2"/>
  <c r="M182" i="2"/>
  <c r="L182" i="2"/>
  <c r="F182" i="2"/>
  <c r="B182" i="2"/>
  <c r="S181" i="2"/>
  <c r="R181" i="2"/>
  <c r="M181" i="2"/>
  <c r="L181" i="2"/>
  <c r="F181" i="2"/>
  <c r="B181" i="2"/>
  <c r="S180" i="2"/>
  <c r="R180" i="2"/>
  <c r="M180" i="2"/>
  <c r="L180" i="2"/>
  <c r="F180" i="2"/>
  <c r="B180" i="2"/>
  <c r="S179" i="2"/>
  <c r="R179" i="2"/>
  <c r="M179" i="2"/>
  <c r="L179" i="2"/>
  <c r="F179" i="2"/>
  <c r="B179" i="2"/>
  <c r="S178" i="2"/>
  <c r="R178" i="2"/>
  <c r="M178" i="2"/>
  <c r="L178" i="2"/>
  <c r="F178" i="2"/>
  <c r="B178" i="2"/>
  <c r="S177" i="2"/>
  <c r="R177" i="2"/>
  <c r="M177" i="2"/>
  <c r="L177" i="2"/>
  <c r="F177" i="2"/>
  <c r="B177" i="2"/>
  <c r="S176" i="2"/>
  <c r="R176" i="2"/>
  <c r="M176" i="2"/>
  <c r="L176" i="2"/>
  <c r="F176" i="2"/>
  <c r="B176" i="2"/>
  <c r="S175" i="2"/>
  <c r="R175" i="2"/>
  <c r="M175" i="2"/>
  <c r="L175" i="2"/>
  <c r="F175" i="2"/>
  <c r="B175" i="2"/>
  <c r="S174" i="2"/>
  <c r="R174" i="2"/>
  <c r="M174" i="2"/>
  <c r="L174" i="2"/>
  <c r="F174" i="2"/>
  <c r="B174" i="2"/>
  <c r="S173" i="2"/>
  <c r="R173" i="2"/>
  <c r="M173" i="2"/>
  <c r="L173" i="2"/>
  <c r="F173" i="2"/>
  <c r="B173" i="2"/>
  <c r="S172" i="2"/>
  <c r="R172" i="2"/>
  <c r="M172" i="2"/>
  <c r="L172" i="2"/>
  <c r="F172" i="2"/>
  <c r="B172" i="2"/>
  <c r="S171" i="2"/>
  <c r="R171" i="2"/>
  <c r="M171" i="2"/>
  <c r="L171" i="2"/>
  <c r="F171" i="2"/>
  <c r="B171" i="2"/>
  <c r="S170" i="2"/>
  <c r="R170" i="2"/>
  <c r="M170" i="2"/>
  <c r="L170" i="2"/>
  <c r="F170" i="2"/>
  <c r="B170" i="2"/>
  <c r="S169" i="2"/>
  <c r="R169" i="2"/>
  <c r="M169" i="2"/>
  <c r="L169" i="2"/>
  <c r="F169" i="2"/>
  <c r="B169" i="2"/>
  <c r="S168" i="2"/>
  <c r="R168" i="2"/>
  <c r="M168" i="2"/>
  <c r="L168" i="2"/>
  <c r="F168" i="2"/>
  <c r="B168" i="2"/>
  <c r="S167" i="2"/>
  <c r="R167" i="2"/>
  <c r="M167" i="2"/>
  <c r="L167" i="2"/>
  <c r="F167" i="2"/>
  <c r="B167" i="2"/>
  <c r="S166" i="2"/>
  <c r="R166" i="2"/>
  <c r="M166" i="2"/>
  <c r="L166" i="2"/>
  <c r="F166" i="2"/>
  <c r="B166" i="2"/>
  <c r="S165" i="2"/>
  <c r="R165" i="2"/>
  <c r="M165" i="2"/>
  <c r="L165" i="2"/>
  <c r="F165" i="2"/>
  <c r="B165" i="2"/>
  <c r="S164" i="2"/>
  <c r="R164" i="2"/>
  <c r="M164" i="2"/>
  <c r="L164" i="2"/>
  <c r="F164" i="2"/>
  <c r="B164" i="2"/>
  <c r="S163" i="2"/>
  <c r="R163" i="2"/>
  <c r="M163" i="2"/>
  <c r="L163" i="2"/>
  <c r="F163" i="2"/>
  <c r="B163" i="2"/>
  <c r="S162" i="2"/>
  <c r="R162" i="2"/>
  <c r="M162" i="2"/>
  <c r="L162" i="2"/>
  <c r="F162" i="2"/>
  <c r="B162" i="2"/>
  <c r="S161" i="2"/>
  <c r="R161" i="2"/>
  <c r="M161" i="2"/>
  <c r="L161" i="2"/>
  <c r="F161" i="2"/>
  <c r="B161" i="2"/>
  <c r="S160" i="2"/>
  <c r="R160" i="2"/>
  <c r="M160" i="2"/>
  <c r="L160" i="2"/>
  <c r="F160" i="2"/>
  <c r="B160" i="2"/>
  <c r="S159" i="2"/>
  <c r="R159" i="2"/>
  <c r="M159" i="2"/>
  <c r="L159" i="2"/>
  <c r="F159" i="2"/>
  <c r="B159" i="2"/>
  <c r="S158" i="2"/>
  <c r="R158" i="2"/>
  <c r="M158" i="2"/>
  <c r="L158" i="2"/>
  <c r="F158" i="2"/>
  <c r="B158" i="2"/>
  <c r="S157" i="2"/>
  <c r="R157" i="2"/>
  <c r="M157" i="2"/>
  <c r="L157" i="2"/>
  <c r="F157" i="2"/>
  <c r="B157" i="2"/>
  <c r="S156" i="2"/>
  <c r="R156" i="2"/>
  <c r="M156" i="2"/>
  <c r="L156" i="2"/>
  <c r="F156" i="2"/>
  <c r="B156" i="2"/>
  <c r="S155" i="2"/>
  <c r="R155" i="2"/>
  <c r="M155" i="2"/>
  <c r="L155" i="2"/>
  <c r="F155" i="2"/>
  <c r="B155" i="2"/>
  <c r="S154" i="2"/>
  <c r="R154" i="2"/>
  <c r="M154" i="2"/>
  <c r="L154" i="2"/>
  <c r="F154" i="2"/>
  <c r="B154" i="2"/>
  <c r="S153" i="2"/>
  <c r="R153" i="2"/>
  <c r="M153" i="2"/>
  <c r="L153" i="2"/>
  <c r="F153" i="2"/>
  <c r="B153" i="2"/>
  <c r="S152" i="2"/>
  <c r="R152" i="2"/>
  <c r="M152" i="2"/>
  <c r="L152" i="2"/>
  <c r="F152" i="2"/>
  <c r="B152" i="2"/>
  <c r="S151" i="2"/>
  <c r="R151" i="2"/>
  <c r="M151" i="2"/>
  <c r="L151" i="2"/>
  <c r="F151" i="2"/>
  <c r="B151" i="2"/>
  <c r="S150" i="2"/>
  <c r="R150" i="2"/>
  <c r="M150" i="2"/>
  <c r="L150" i="2"/>
  <c r="F150" i="2"/>
  <c r="B150" i="2"/>
  <c r="S149" i="2"/>
  <c r="R149" i="2"/>
  <c r="M149" i="2"/>
  <c r="L149" i="2"/>
  <c r="F149" i="2"/>
  <c r="B149" i="2"/>
  <c r="S148" i="2"/>
  <c r="R148" i="2"/>
  <c r="M148" i="2"/>
  <c r="L148" i="2"/>
  <c r="F148" i="2"/>
  <c r="B148" i="2"/>
  <c r="S147" i="2"/>
  <c r="R147" i="2"/>
  <c r="M147" i="2"/>
  <c r="L147" i="2"/>
  <c r="F147" i="2"/>
  <c r="B147" i="2"/>
  <c r="S146" i="2"/>
  <c r="R146" i="2"/>
  <c r="M146" i="2"/>
  <c r="L146" i="2"/>
  <c r="F146" i="2"/>
  <c r="B146" i="2"/>
  <c r="S145" i="2"/>
  <c r="R145" i="2"/>
  <c r="M145" i="2"/>
  <c r="L145" i="2"/>
  <c r="F145" i="2"/>
  <c r="B145" i="2"/>
  <c r="S144" i="2"/>
  <c r="R144" i="2"/>
  <c r="M144" i="2"/>
  <c r="L144" i="2"/>
  <c r="F144" i="2"/>
  <c r="B144" i="2"/>
  <c r="S143" i="2"/>
  <c r="R143" i="2"/>
  <c r="M143" i="2"/>
  <c r="L143" i="2"/>
  <c r="F143" i="2"/>
  <c r="B143" i="2"/>
  <c r="S142" i="2"/>
  <c r="R142" i="2"/>
  <c r="M142" i="2"/>
  <c r="L142" i="2"/>
  <c r="F142" i="2"/>
  <c r="B142" i="2"/>
  <c r="S141" i="2"/>
  <c r="R141" i="2"/>
  <c r="M141" i="2"/>
  <c r="L141" i="2"/>
  <c r="F141" i="2"/>
  <c r="B141" i="2"/>
  <c r="S140" i="2"/>
  <c r="R140" i="2"/>
  <c r="M140" i="2"/>
  <c r="L140" i="2"/>
  <c r="F140" i="2"/>
  <c r="B140" i="2"/>
  <c r="S139" i="2"/>
  <c r="R139" i="2"/>
  <c r="M139" i="2"/>
  <c r="L139" i="2"/>
  <c r="F139" i="2"/>
  <c r="B139" i="2"/>
  <c r="S138" i="2"/>
  <c r="R138" i="2"/>
  <c r="M138" i="2"/>
  <c r="L138" i="2"/>
  <c r="F138" i="2"/>
  <c r="B138" i="2"/>
  <c r="S137" i="2"/>
  <c r="R137" i="2"/>
  <c r="M137" i="2"/>
  <c r="L137" i="2"/>
  <c r="F137" i="2"/>
  <c r="B137" i="2"/>
  <c r="S136" i="2"/>
  <c r="R136" i="2"/>
  <c r="M136" i="2"/>
  <c r="L136" i="2"/>
  <c r="F136" i="2"/>
  <c r="B136" i="2"/>
  <c r="S135" i="2"/>
  <c r="R135" i="2"/>
  <c r="M135" i="2"/>
  <c r="L135" i="2"/>
  <c r="F135" i="2"/>
  <c r="B135" i="2"/>
  <c r="S134" i="2"/>
  <c r="R134" i="2"/>
  <c r="M134" i="2"/>
  <c r="L134" i="2"/>
  <c r="F134" i="2"/>
  <c r="B134" i="2"/>
  <c r="S133" i="2"/>
  <c r="R133" i="2"/>
  <c r="M133" i="2"/>
  <c r="L133" i="2"/>
  <c r="F133" i="2"/>
  <c r="B133" i="2"/>
  <c r="S132" i="2"/>
  <c r="R132" i="2"/>
  <c r="M132" i="2"/>
  <c r="L132" i="2"/>
  <c r="F132" i="2"/>
  <c r="B132" i="2"/>
  <c r="S131" i="2"/>
  <c r="R131" i="2"/>
  <c r="M131" i="2"/>
  <c r="L131" i="2"/>
  <c r="F131" i="2"/>
  <c r="B131" i="2"/>
  <c r="S130" i="2"/>
  <c r="R130" i="2"/>
  <c r="M130" i="2"/>
  <c r="L130" i="2"/>
  <c r="F130" i="2"/>
  <c r="B130" i="2"/>
  <c r="S129" i="2"/>
  <c r="R129" i="2"/>
  <c r="M129" i="2"/>
  <c r="L129" i="2"/>
  <c r="F129" i="2"/>
  <c r="B129" i="2"/>
  <c r="S128" i="2"/>
  <c r="R128" i="2"/>
  <c r="M128" i="2"/>
  <c r="L128" i="2"/>
  <c r="F128" i="2"/>
  <c r="B128" i="2"/>
  <c r="S127" i="2"/>
  <c r="R127" i="2"/>
  <c r="M127" i="2"/>
  <c r="L127" i="2"/>
  <c r="F127" i="2"/>
  <c r="B127" i="2"/>
  <c r="S126" i="2"/>
  <c r="R126" i="2"/>
  <c r="M126" i="2"/>
  <c r="L126" i="2"/>
  <c r="F126" i="2"/>
  <c r="B126" i="2"/>
  <c r="S125" i="2"/>
  <c r="R125" i="2"/>
  <c r="M125" i="2"/>
  <c r="L125" i="2"/>
  <c r="F125" i="2"/>
  <c r="B125" i="2"/>
  <c r="S124" i="2"/>
  <c r="R124" i="2"/>
  <c r="M124" i="2"/>
  <c r="L124" i="2"/>
  <c r="F124" i="2"/>
  <c r="B124" i="2"/>
  <c r="S123" i="2"/>
  <c r="R123" i="2"/>
  <c r="M123" i="2"/>
  <c r="L123" i="2"/>
  <c r="F123" i="2"/>
  <c r="B123" i="2"/>
  <c r="S122" i="2"/>
  <c r="R122" i="2"/>
  <c r="M122" i="2"/>
  <c r="L122" i="2"/>
  <c r="F122" i="2"/>
  <c r="B122" i="2"/>
  <c r="S121" i="2"/>
  <c r="R121" i="2"/>
  <c r="M121" i="2"/>
  <c r="L121" i="2"/>
  <c r="F121" i="2"/>
  <c r="B121" i="2"/>
  <c r="S120" i="2"/>
  <c r="R120" i="2"/>
  <c r="M120" i="2"/>
  <c r="L120" i="2"/>
  <c r="F120" i="2"/>
  <c r="B120" i="2"/>
  <c r="S119" i="2"/>
  <c r="R119" i="2"/>
  <c r="M119" i="2"/>
  <c r="L119" i="2"/>
  <c r="F119" i="2"/>
  <c r="B119" i="2"/>
  <c r="S118" i="2"/>
  <c r="R118" i="2"/>
  <c r="M118" i="2"/>
  <c r="L118" i="2"/>
  <c r="F118" i="2"/>
  <c r="B118" i="2"/>
  <c r="S117" i="2"/>
  <c r="R117" i="2"/>
  <c r="M117" i="2"/>
  <c r="L117" i="2"/>
  <c r="F117" i="2"/>
  <c r="B117" i="2"/>
  <c r="S116" i="2"/>
  <c r="R116" i="2"/>
  <c r="M116" i="2"/>
  <c r="L116" i="2"/>
  <c r="F116" i="2"/>
  <c r="B116" i="2"/>
  <c r="S115" i="2"/>
  <c r="R115" i="2"/>
  <c r="M115" i="2"/>
  <c r="L115" i="2"/>
  <c r="F115" i="2"/>
  <c r="B115" i="2"/>
  <c r="S114" i="2"/>
  <c r="R114" i="2"/>
  <c r="M114" i="2"/>
  <c r="L114" i="2"/>
  <c r="F114" i="2"/>
  <c r="B114" i="2"/>
  <c r="S113" i="2"/>
  <c r="R113" i="2"/>
  <c r="M113" i="2"/>
  <c r="L113" i="2"/>
  <c r="F113" i="2"/>
  <c r="B113" i="2"/>
  <c r="S112" i="2"/>
  <c r="R112" i="2"/>
  <c r="M112" i="2"/>
  <c r="L112" i="2"/>
  <c r="F112" i="2"/>
  <c r="B112" i="2"/>
  <c r="S111" i="2"/>
  <c r="R111" i="2"/>
  <c r="M111" i="2"/>
  <c r="L111" i="2"/>
  <c r="F111" i="2"/>
  <c r="B111" i="2"/>
  <c r="S110" i="2"/>
  <c r="R110" i="2"/>
  <c r="M110" i="2"/>
  <c r="L110" i="2"/>
  <c r="F110" i="2"/>
  <c r="B110" i="2"/>
  <c r="S109" i="2"/>
  <c r="R109" i="2"/>
  <c r="M109" i="2"/>
  <c r="L109" i="2"/>
  <c r="F109" i="2"/>
  <c r="B109" i="2"/>
  <c r="S108" i="2"/>
  <c r="R108" i="2"/>
  <c r="M108" i="2"/>
  <c r="L108" i="2"/>
  <c r="F108" i="2"/>
  <c r="B108" i="2"/>
  <c r="V107" i="2"/>
  <c r="S107" i="2"/>
  <c r="R107" i="2"/>
  <c r="M107" i="2"/>
  <c r="L107" i="2"/>
  <c r="F107" i="2"/>
  <c r="B107" i="2"/>
  <c r="V106" i="2"/>
  <c r="S106" i="2"/>
  <c r="R106" i="2"/>
  <c r="M106" i="2"/>
  <c r="L106" i="2"/>
  <c r="F106" i="2"/>
  <c r="B106" i="2"/>
  <c r="V105" i="2"/>
  <c r="S105" i="2"/>
  <c r="R105" i="2"/>
  <c r="M105" i="2"/>
  <c r="L105" i="2"/>
  <c r="F105" i="2"/>
  <c r="B105" i="2"/>
  <c r="V104" i="2"/>
  <c r="S104" i="2"/>
  <c r="R104" i="2"/>
  <c r="M104" i="2"/>
  <c r="L104" i="2"/>
  <c r="F104" i="2"/>
  <c r="B104" i="2"/>
  <c r="V103" i="2"/>
  <c r="S103" i="2"/>
  <c r="R103" i="2"/>
  <c r="M103" i="2"/>
  <c r="L103" i="2"/>
  <c r="F103" i="2"/>
  <c r="B103" i="2"/>
  <c r="V102" i="2"/>
  <c r="S102" i="2"/>
  <c r="R102" i="2"/>
  <c r="M102" i="2"/>
  <c r="L102" i="2"/>
  <c r="F102" i="2"/>
  <c r="B102" i="2"/>
  <c r="V101" i="2"/>
  <c r="S101" i="2"/>
  <c r="R101" i="2"/>
  <c r="M101" i="2"/>
  <c r="L101" i="2"/>
  <c r="F101" i="2"/>
  <c r="B101" i="2"/>
  <c r="V100" i="2"/>
  <c r="S100" i="2"/>
  <c r="R100" i="2"/>
  <c r="M100" i="2"/>
  <c r="L100" i="2"/>
  <c r="F100" i="2"/>
  <c r="B100" i="2"/>
  <c r="V99" i="2"/>
  <c r="S99" i="2"/>
  <c r="R99" i="2"/>
  <c r="M99" i="2"/>
  <c r="L99" i="2"/>
  <c r="F99" i="2"/>
  <c r="B99" i="2"/>
  <c r="V98" i="2"/>
  <c r="S98" i="2"/>
  <c r="R98" i="2"/>
  <c r="M98" i="2"/>
  <c r="L98" i="2"/>
  <c r="F98" i="2"/>
  <c r="B98" i="2"/>
  <c r="V97" i="2"/>
  <c r="S97" i="2"/>
  <c r="R97" i="2"/>
  <c r="M97" i="2"/>
  <c r="L97" i="2"/>
  <c r="F97" i="2"/>
  <c r="B97" i="2"/>
  <c r="V96" i="2"/>
  <c r="S96" i="2"/>
  <c r="R96" i="2"/>
  <c r="M96" i="2"/>
  <c r="L96" i="2"/>
  <c r="F96" i="2"/>
  <c r="B96" i="2"/>
  <c r="V95" i="2"/>
  <c r="S95" i="2"/>
  <c r="R95" i="2"/>
  <c r="M95" i="2"/>
  <c r="L95" i="2"/>
  <c r="F95" i="2"/>
  <c r="B95" i="2"/>
  <c r="V94" i="2"/>
  <c r="S94" i="2"/>
  <c r="R94" i="2"/>
  <c r="M94" i="2"/>
  <c r="L94" i="2"/>
  <c r="F94" i="2"/>
  <c r="B94" i="2"/>
  <c r="V93" i="2"/>
  <c r="S93" i="2"/>
  <c r="R93" i="2"/>
  <c r="M93" i="2"/>
  <c r="L93" i="2"/>
  <c r="F93" i="2"/>
  <c r="B93" i="2"/>
  <c r="V92" i="2"/>
  <c r="S92" i="2"/>
  <c r="R92" i="2"/>
  <c r="M92" i="2"/>
  <c r="L92" i="2"/>
  <c r="F92" i="2"/>
  <c r="B92" i="2"/>
  <c r="V91" i="2"/>
  <c r="S91" i="2"/>
  <c r="R91" i="2"/>
  <c r="M91" i="2"/>
  <c r="L91" i="2"/>
  <c r="F91" i="2"/>
  <c r="B91" i="2"/>
  <c r="V90" i="2"/>
  <c r="S90" i="2"/>
  <c r="R90" i="2"/>
  <c r="M90" i="2"/>
  <c r="L90" i="2"/>
  <c r="F90" i="2"/>
  <c r="B90" i="2"/>
  <c r="V89" i="2"/>
  <c r="S89" i="2"/>
  <c r="R89" i="2"/>
  <c r="M89" i="2"/>
  <c r="L89" i="2"/>
  <c r="F89" i="2"/>
  <c r="B89" i="2"/>
  <c r="V88" i="2"/>
  <c r="S88" i="2"/>
  <c r="R88" i="2"/>
  <c r="M88" i="2"/>
  <c r="L88" i="2"/>
  <c r="F88" i="2"/>
  <c r="B88" i="2"/>
  <c r="V87" i="2"/>
  <c r="S87" i="2"/>
  <c r="R87" i="2"/>
  <c r="M87" i="2"/>
  <c r="L87" i="2"/>
  <c r="F87" i="2"/>
  <c r="B87" i="2"/>
  <c r="AB86" i="2"/>
  <c r="S86" i="2"/>
  <c r="R86" i="2"/>
  <c r="M86" i="2"/>
  <c r="L86" i="2"/>
  <c r="F86" i="2"/>
  <c r="B86" i="2"/>
  <c r="S85" i="2"/>
  <c r="R85" i="2"/>
  <c r="M85" i="2"/>
  <c r="L85" i="2"/>
  <c r="F85" i="2"/>
  <c r="B85" i="2"/>
  <c r="Y84" i="2"/>
  <c r="X84" i="2"/>
  <c r="W84" i="2"/>
  <c r="V84" i="2"/>
  <c r="S84" i="2"/>
  <c r="R84" i="2"/>
  <c r="M84" i="2"/>
  <c r="L84" i="2"/>
  <c r="F84" i="2"/>
  <c r="B84" i="2"/>
  <c r="S83" i="2"/>
  <c r="R83" i="2"/>
  <c r="M83" i="2"/>
  <c r="L83" i="2"/>
  <c r="F83" i="2"/>
  <c r="B83" i="2"/>
  <c r="S82" i="2"/>
  <c r="R82" i="2"/>
  <c r="M82" i="2"/>
  <c r="L82" i="2"/>
  <c r="F82" i="2"/>
  <c r="B82" i="2"/>
  <c r="S81" i="2"/>
  <c r="R81" i="2"/>
  <c r="M81" i="2"/>
  <c r="L81" i="2"/>
  <c r="F81" i="2"/>
  <c r="B81" i="2"/>
  <c r="S80" i="2"/>
  <c r="R80" i="2"/>
  <c r="M80" i="2"/>
  <c r="L80" i="2"/>
  <c r="F80" i="2"/>
  <c r="B80" i="2"/>
  <c r="V79" i="2"/>
  <c r="S79" i="2"/>
  <c r="R79" i="2"/>
  <c r="M79" i="2"/>
  <c r="L79" i="2"/>
  <c r="F79" i="2"/>
  <c r="B79" i="2"/>
  <c r="V78" i="2"/>
  <c r="S78" i="2"/>
  <c r="R78" i="2"/>
  <c r="M78" i="2"/>
  <c r="L78" i="2"/>
  <c r="F78" i="2"/>
  <c r="B78" i="2"/>
  <c r="V77" i="2"/>
  <c r="S77" i="2"/>
  <c r="R77" i="2"/>
  <c r="M77" i="2"/>
  <c r="L77" i="2"/>
  <c r="F77" i="2"/>
  <c r="B77" i="2"/>
  <c r="V76" i="2"/>
  <c r="S76" i="2"/>
  <c r="R76" i="2"/>
  <c r="M76" i="2"/>
  <c r="L76" i="2"/>
  <c r="F76" i="2"/>
  <c r="B76" i="2"/>
  <c r="V75" i="2"/>
  <c r="S75" i="2"/>
  <c r="R75" i="2"/>
  <c r="M75" i="2"/>
  <c r="L75" i="2"/>
  <c r="F75" i="2"/>
  <c r="B75" i="2"/>
  <c r="V74" i="2"/>
  <c r="S74" i="2"/>
  <c r="R74" i="2"/>
  <c r="M74" i="2"/>
  <c r="L74" i="2"/>
  <c r="F74" i="2"/>
  <c r="B74" i="2"/>
  <c r="V73" i="2"/>
  <c r="S73" i="2"/>
  <c r="R73" i="2"/>
  <c r="M73" i="2"/>
  <c r="L73" i="2"/>
  <c r="F73" i="2"/>
  <c r="B73" i="2"/>
  <c r="V72" i="2"/>
  <c r="S72" i="2"/>
  <c r="R72" i="2"/>
  <c r="M72" i="2"/>
  <c r="L72" i="2"/>
  <c r="F72" i="2"/>
  <c r="B72" i="2"/>
  <c r="V71" i="2"/>
  <c r="S71" i="2"/>
  <c r="R71" i="2"/>
  <c r="M71" i="2"/>
  <c r="L71" i="2"/>
  <c r="F71" i="2"/>
  <c r="B71" i="2"/>
  <c r="V70" i="2"/>
  <c r="S70" i="2"/>
  <c r="R70" i="2"/>
  <c r="M70" i="2"/>
  <c r="L70" i="2"/>
  <c r="F70" i="2"/>
  <c r="B70" i="2"/>
  <c r="V69" i="2"/>
  <c r="S69" i="2"/>
  <c r="R69" i="2"/>
  <c r="M69" i="2"/>
  <c r="L69" i="2"/>
  <c r="F69" i="2"/>
  <c r="B69" i="2"/>
  <c r="V68" i="2"/>
  <c r="S68" i="2"/>
  <c r="R68" i="2"/>
  <c r="M68" i="2"/>
  <c r="L68" i="2"/>
  <c r="F68" i="2"/>
  <c r="B68" i="2"/>
  <c r="S67" i="2"/>
  <c r="R67" i="2"/>
  <c r="M67" i="2"/>
  <c r="L67" i="2"/>
  <c r="F67" i="2"/>
  <c r="B67" i="2"/>
  <c r="S66" i="2"/>
  <c r="R66" i="2"/>
  <c r="M66" i="2"/>
  <c r="L66" i="2"/>
  <c r="F66" i="2"/>
  <c r="B66" i="2"/>
  <c r="S65" i="2"/>
  <c r="R65" i="2"/>
  <c r="M65" i="2"/>
  <c r="L65" i="2"/>
  <c r="F65" i="2"/>
  <c r="B65" i="2"/>
  <c r="S64" i="2"/>
  <c r="R64" i="2"/>
  <c r="M64" i="2"/>
  <c r="L64" i="2"/>
  <c r="F64" i="2"/>
  <c r="B64" i="2"/>
  <c r="S63" i="2"/>
  <c r="R63" i="2"/>
  <c r="M63" i="2"/>
  <c r="L63" i="2"/>
  <c r="F63" i="2"/>
  <c r="B63" i="2"/>
  <c r="S62" i="2"/>
  <c r="R62" i="2"/>
  <c r="M62" i="2"/>
  <c r="L62" i="2"/>
  <c r="F62" i="2"/>
  <c r="B62" i="2"/>
  <c r="S61" i="2"/>
  <c r="R61" i="2"/>
  <c r="M61" i="2"/>
  <c r="L61" i="2"/>
  <c r="F61" i="2"/>
  <c r="B61" i="2"/>
  <c r="S60" i="2"/>
  <c r="R60" i="2"/>
  <c r="M60" i="2"/>
  <c r="L60" i="2"/>
  <c r="F60" i="2"/>
  <c r="B60" i="2"/>
  <c r="S59" i="2"/>
  <c r="R59" i="2"/>
  <c r="M59" i="2"/>
  <c r="L59" i="2"/>
  <c r="F59" i="2"/>
  <c r="B59" i="2"/>
  <c r="S58" i="2"/>
  <c r="R58" i="2"/>
  <c r="M58" i="2"/>
  <c r="L58" i="2"/>
  <c r="F58" i="2"/>
  <c r="B58" i="2"/>
  <c r="S57" i="2"/>
  <c r="R57" i="2"/>
  <c r="M57" i="2"/>
  <c r="L57" i="2"/>
  <c r="F57" i="2"/>
  <c r="B57" i="2"/>
  <c r="S56" i="2"/>
  <c r="R56" i="2"/>
  <c r="M56" i="2"/>
  <c r="L56" i="2"/>
  <c r="F56" i="2"/>
  <c r="B56" i="2"/>
  <c r="S55" i="2"/>
  <c r="R55" i="2"/>
  <c r="M55" i="2"/>
  <c r="L55" i="2"/>
  <c r="F55" i="2"/>
  <c r="B55" i="2"/>
  <c r="S54" i="2"/>
  <c r="R54" i="2"/>
  <c r="M54" i="2"/>
  <c r="L54" i="2"/>
  <c r="F54" i="2"/>
  <c r="B54" i="2"/>
  <c r="S53" i="2"/>
  <c r="R53" i="2"/>
  <c r="M53" i="2"/>
  <c r="L53" i="2"/>
  <c r="F53" i="2"/>
  <c r="B53" i="2"/>
  <c r="S52" i="2"/>
  <c r="R52" i="2"/>
  <c r="M52" i="2"/>
  <c r="L52" i="2"/>
  <c r="F52" i="2"/>
  <c r="B52" i="2"/>
  <c r="S51" i="2"/>
  <c r="R51" i="2"/>
  <c r="M51" i="2"/>
  <c r="L51" i="2"/>
  <c r="F51" i="2"/>
  <c r="B51" i="2"/>
  <c r="S50" i="2"/>
  <c r="R50" i="2"/>
  <c r="M50" i="2"/>
  <c r="L50" i="2"/>
  <c r="F50" i="2"/>
  <c r="B50" i="2"/>
  <c r="S49" i="2"/>
  <c r="R49" i="2"/>
  <c r="M49" i="2"/>
  <c r="L49" i="2"/>
  <c r="F49" i="2"/>
  <c r="B49" i="2"/>
  <c r="S48" i="2"/>
  <c r="R48" i="2"/>
  <c r="M48" i="2"/>
  <c r="L48" i="2"/>
  <c r="F48" i="2"/>
  <c r="B48" i="2"/>
  <c r="S47" i="2"/>
  <c r="R47" i="2"/>
  <c r="M47" i="2"/>
  <c r="L47" i="2"/>
  <c r="F47" i="2"/>
  <c r="B47" i="2"/>
  <c r="S46" i="2"/>
  <c r="R46" i="2"/>
  <c r="M46" i="2"/>
  <c r="L46" i="2"/>
  <c r="F46" i="2"/>
  <c r="B46" i="2"/>
  <c r="S45" i="2"/>
  <c r="R45" i="2"/>
  <c r="M45" i="2"/>
  <c r="L45" i="2"/>
  <c r="F45" i="2"/>
  <c r="B45" i="2"/>
  <c r="S44" i="2"/>
  <c r="R44" i="2"/>
  <c r="M44" i="2"/>
  <c r="L44" i="2"/>
  <c r="F44" i="2"/>
  <c r="B44" i="2"/>
  <c r="S43" i="2"/>
  <c r="R43" i="2"/>
  <c r="M43" i="2"/>
  <c r="L43" i="2"/>
  <c r="F43" i="2"/>
  <c r="B43" i="2"/>
  <c r="S42" i="2"/>
  <c r="R42" i="2"/>
  <c r="M42" i="2"/>
  <c r="L42" i="2"/>
  <c r="F42" i="2"/>
  <c r="B42" i="2"/>
  <c r="S41" i="2"/>
  <c r="R41" i="2"/>
  <c r="M41" i="2"/>
  <c r="L41" i="2"/>
  <c r="F41" i="2"/>
  <c r="B41" i="2"/>
  <c r="S40" i="2"/>
  <c r="R40" i="2"/>
  <c r="M40" i="2"/>
  <c r="L40" i="2"/>
  <c r="F40" i="2"/>
  <c r="B40" i="2"/>
  <c r="S39" i="2"/>
  <c r="R39" i="2"/>
  <c r="M39" i="2"/>
  <c r="L39" i="2"/>
  <c r="F39" i="2"/>
  <c r="B39" i="2"/>
  <c r="S38" i="2"/>
  <c r="R38" i="2"/>
  <c r="M38" i="2"/>
  <c r="L38" i="2"/>
  <c r="F38" i="2"/>
  <c r="B38" i="2"/>
  <c r="S37" i="2"/>
  <c r="R37" i="2"/>
  <c r="M37" i="2"/>
  <c r="L37" i="2"/>
  <c r="F37" i="2"/>
  <c r="B37" i="2"/>
  <c r="S36" i="2"/>
  <c r="R36" i="2"/>
  <c r="M36" i="2"/>
  <c r="L36" i="2"/>
  <c r="F36" i="2"/>
  <c r="B36" i="2"/>
  <c r="S35" i="2"/>
  <c r="R35" i="2"/>
  <c r="M35" i="2"/>
  <c r="L35" i="2"/>
  <c r="F35" i="2"/>
  <c r="B35" i="2"/>
  <c r="S34" i="2"/>
  <c r="R34" i="2"/>
  <c r="M34" i="2"/>
  <c r="L34" i="2"/>
  <c r="F34" i="2"/>
  <c r="B34" i="2"/>
  <c r="S33" i="2"/>
  <c r="R33" i="2"/>
  <c r="M33" i="2"/>
  <c r="L33" i="2"/>
  <c r="F33" i="2"/>
  <c r="B33" i="2"/>
  <c r="S32" i="2"/>
  <c r="R32" i="2"/>
  <c r="M32" i="2"/>
  <c r="L32" i="2"/>
  <c r="F32" i="2"/>
  <c r="B32" i="2"/>
  <c r="S31" i="2"/>
  <c r="R31" i="2"/>
  <c r="M31" i="2"/>
  <c r="L31" i="2"/>
  <c r="F31" i="2"/>
  <c r="B31" i="2"/>
  <c r="S30" i="2"/>
  <c r="R30" i="2"/>
  <c r="M30" i="2"/>
  <c r="L30" i="2"/>
  <c r="F30" i="2"/>
  <c r="B30" i="2"/>
  <c r="S29" i="2"/>
  <c r="R29" i="2"/>
  <c r="M29" i="2"/>
  <c r="L29" i="2"/>
  <c r="F29" i="2"/>
  <c r="B29" i="2"/>
  <c r="S28" i="2"/>
  <c r="R28" i="2"/>
  <c r="M28" i="2"/>
  <c r="L28" i="2"/>
  <c r="F28" i="2"/>
  <c r="B28" i="2"/>
  <c r="S27" i="2"/>
  <c r="R27" i="2"/>
  <c r="M27" i="2"/>
  <c r="L27" i="2"/>
  <c r="F27" i="2"/>
  <c r="B27" i="2"/>
  <c r="S26" i="2"/>
  <c r="R26" i="2"/>
  <c r="M26" i="2"/>
  <c r="L26" i="2"/>
  <c r="F26" i="2"/>
  <c r="B26" i="2"/>
  <c r="S25" i="2"/>
  <c r="R25" i="2"/>
  <c r="M25" i="2"/>
  <c r="L25" i="2"/>
  <c r="F25" i="2"/>
  <c r="B25" i="2"/>
  <c r="S24" i="2"/>
  <c r="R24" i="2"/>
  <c r="M24" i="2"/>
  <c r="L24" i="2"/>
  <c r="F24" i="2"/>
  <c r="B24" i="2"/>
  <c r="S23" i="2"/>
  <c r="R23" i="2"/>
  <c r="M23" i="2"/>
  <c r="L23" i="2"/>
  <c r="F23" i="2"/>
  <c r="B23" i="2"/>
  <c r="S22" i="2"/>
  <c r="R22" i="2"/>
  <c r="M22" i="2"/>
  <c r="L22" i="2"/>
  <c r="F22" i="2"/>
  <c r="B22" i="2"/>
  <c r="S21" i="2"/>
  <c r="R21" i="2"/>
  <c r="M21" i="2"/>
  <c r="L21" i="2"/>
  <c r="F21" i="2"/>
  <c r="B21" i="2"/>
  <c r="S20" i="2"/>
  <c r="R20" i="2"/>
  <c r="M20" i="2"/>
  <c r="L20" i="2"/>
  <c r="F20" i="2"/>
  <c r="B20" i="2"/>
  <c r="AD19" i="2"/>
  <c r="S19" i="2"/>
  <c r="R19" i="2"/>
  <c r="M19" i="2"/>
  <c r="L19" i="2"/>
  <c r="F19" i="2"/>
  <c r="B19" i="2"/>
  <c r="S18" i="2"/>
  <c r="R18" i="2"/>
  <c r="M18" i="2"/>
  <c r="L18" i="2"/>
  <c r="F18" i="2"/>
  <c r="B18" i="2"/>
  <c r="S17" i="2"/>
  <c r="R17" i="2"/>
  <c r="M17" i="2"/>
  <c r="L17" i="2"/>
  <c r="F17" i="2"/>
  <c r="B17" i="2"/>
  <c r="W16" i="2"/>
  <c r="S16" i="2"/>
  <c r="R16" i="2"/>
  <c r="M16" i="2"/>
  <c r="L16" i="2"/>
  <c r="F16" i="2"/>
  <c r="B16" i="2"/>
  <c r="S15" i="2"/>
  <c r="R15" i="2"/>
  <c r="M15" i="2"/>
  <c r="L15" i="2"/>
  <c r="F15" i="2"/>
  <c r="B15" i="2"/>
  <c r="S14" i="2"/>
  <c r="R14" i="2"/>
  <c r="M14" i="2"/>
  <c r="L14" i="2"/>
  <c r="F14" i="2"/>
  <c r="B14" i="2"/>
  <c r="S13" i="2"/>
  <c r="R13" i="2"/>
  <c r="M13" i="2"/>
  <c r="L13" i="2"/>
  <c r="F13" i="2"/>
  <c r="B13" i="2"/>
  <c r="S12" i="2"/>
  <c r="R12" i="2"/>
  <c r="M12" i="2"/>
  <c r="L12" i="2"/>
  <c r="F12" i="2"/>
  <c r="B12" i="2"/>
  <c r="S11" i="2"/>
  <c r="R11" i="2"/>
  <c r="M11" i="2"/>
  <c r="L11" i="2"/>
  <c r="F11" i="2"/>
  <c r="B11" i="2"/>
  <c r="S10" i="2"/>
  <c r="R10" i="2"/>
  <c r="M10" i="2"/>
  <c r="L10" i="2"/>
  <c r="F10" i="2"/>
  <c r="B10" i="2"/>
  <c r="AU9" i="2"/>
  <c r="V9" i="2" a="1"/>
  <c r="S9" i="2"/>
  <c r="R9" i="2"/>
  <c r="M9" i="2"/>
  <c r="L9" i="2"/>
  <c r="F9" i="2"/>
  <c r="B9" i="2"/>
  <c r="AM7" i="2"/>
  <c r="AI7" i="2"/>
  <c r="AE7" i="2"/>
  <c r="Z104" i="2" l="1" a="1"/>
  <c r="Z104" i="2" s="1"/>
  <c r="Z103" i="2" a="1"/>
  <c r="Z103" i="2" s="1"/>
  <c r="Z101" i="2" a="1"/>
  <c r="Z101" i="2" s="1"/>
  <c r="Z100" i="2" a="1"/>
  <c r="Z100" i="2" s="1"/>
  <c r="Z99" i="2" a="1"/>
  <c r="Z99" i="2" s="1"/>
  <c r="Z98" i="2" a="1"/>
  <c r="Z98" i="2" s="1"/>
  <c r="Z97" i="2" a="1"/>
  <c r="Z97" i="2" s="1"/>
  <c r="Z95" i="2" a="1"/>
  <c r="Z95" i="2" s="1"/>
  <c r="Z92" i="2" a="1"/>
  <c r="Z92" i="2" s="1"/>
  <c r="Z91" i="2" a="1"/>
  <c r="Z91" i="2" s="1"/>
  <c r="Z89" i="2" a="1"/>
  <c r="Z89" i="2" s="1"/>
  <c r="Z88" i="2" a="1"/>
  <c r="Z88" i="2" s="1"/>
  <c r="Z87" i="2" a="1"/>
  <c r="Z87" i="2" s="1"/>
  <c r="AB87" i="2"/>
  <c r="AG86" i="2"/>
  <c r="AF86" i="2"/>
  <c r="AE86" i="2"/>
  <c r="AD86" i="2"/>
  <c r="AC86" i="2"/>
  <c r="AJ86" i="2"/>
  <c r="AL86" i="2" s="1"/>
  <c r="AK86" i="2"/>
  <c r="AH86" i="2"/>
  <c r="AI86" i="2" s="1"/>
  <c r="W79" i="2"/>
  <c r="X79" i="2"/>
  <c r="Y79" i="2"/>
  <c r="Z79" i="2"/>
  <c r="Z78" i="2"/>
  <c r="Y78" i="2"/>
  <c r="X78" i="2"/>
  <c r="W78" i="2"/>
  <c r="Z77" i="2"/>
  <c r="Y77" i="2"/>
  <c r="X77" i="2"/>
  <c r="W77" i="2"/>
  <c r="W76" i="2"/>
  <c r="X76" i="2"/>
  <c r="Z76" i="2"/>
  <c r="Y76" i="2"/>
  <c r="Z75" i="2"/>
  <c r="Y75" i="2"/>
  <c r="X75" i="2"/>
  <c r="W75" i="2"/>
  <c r="Z74" i="2"/>
  <c r="W74" i="2"/>
  <c r="Y74" i="2"/>
  <c r="X74" i="2"/>
  <c r="X73" i="2"/>
  <c r="W73" i="2"/>
  <c r="Y73" i="2"/>
  <c r="Z73" i="2"/>
  <c r="X72" i="2"/>
  <c r="W72" i="2"/>
  <c r="Y72" i="2"/>
  <c r="Z72" i="2"/>
  <c r="W71" i="2"/>
  <c r="Y71" i="2"/>
  <c r="Z71" i="2"/>
  <c r="X71" i="2"/>
  <c r="W70" i="2"/>
  <c r="X70" i="2"/>
  <c r="Y70" i="2"/>
  <c r="Z70" i="2"/>
  <c r="Y69" i="2"/>
  <c r="W69" i="2"/>
  <c r="X69" i="2"/>
  <c r="Z69" i="2"/>
  <c r="Z68" i="2"/>
  <c r="Y68" i="2"/>
  <c r="W68" i="2"/>
  <c r="W80" i="2" s="1"/>
  <c r="X68" i="2"/>
  <c r="AU10" i="2"/>
  <c r="AV9" i="2"/>
  <c r="Z10" i="2"/>
  <c r="V9" i="2"/>
  <c r="X10" i="2"/>
  <c r="V86" i="2"/>
  <c r="W10" i="2"/>
  <c r="AA10" i="2"/>
  <c r="AD10" i="2"/>
  <c r="Y10" i="2"/>
  <c r="Z106" i="2" a="1"/>
  <c r="Z106" i="2" s="1"/>
  <c r="Z105" i="2" a="1"/>
  <c r="Z105" i="2" s="1"/>
  <c r="Z107" i="2" a="1"/>
  <c r="Z107" i="2" s="1"/>
  <c r="Z93" i="2" a="1"/>
  <c r="Z93" i="2" s="1"/>
  <c r="X26" i="2"/>
  <c r="Z26" i="2" s="1"/>
  <c r="W25" i="2"/>
  <c r="AD42" i="2"/>
  <c r="AD24" i="2"/>
  <c r="W24" i="2"/>
  <c r="Y41" i="2"/>
  <c r="Y23" i="2"/>
  <c r="W38" i="2"/>
  <c r="Y37" i="2"/>
  <c r="Y22" i="2"/>
  <c r="X22" i="2"/>
  <c r="Z22" i="2" s="1"/>
  <c r="W22" i="2"/>
  <c r="Y21" i="2"/>
  <c r="AA36" i="2"/>
  <c r="W36" i="2"/>
  <c r="AD35" i="2"/>
  <c r="X19" i="2"/>
  <c r="Z19" i="2" s="1"/>
  <c r="AA18" i="2"/>
  <c r="AD34" i="2"/>
  <c r="Y33" i="2"/>
  <c r="Y32" i="2"/>
  <c r="Y31" i="2"/>
  <c r="X18" i="2"/>
  <c r="Z18" i="2" s="1"/>
  <c r="AC18" i="2" s="1"/>
  <c r="W18" i="2"/>
  <c r="AD17" i="2"/>
  <c r="Y30" i="2"/>
  <c r="Y17" i="2"/>
  <c r="X29" i="2"/>
  <c r="Z29" i="2" s="1"/>
  <c r="AD16" i="2"/>
  <c r="Y16" i="2"/>
  <c r="X13" i="2"/>
  <c r="Z13" i="2" s="1"/>
  <c r="AC13" i="2" s="1"/>
  <c r="AD12" i="2"/>
  <c r="AA28" i="2"/>
  <c r="W28" i="2"/>
  <c r="X12" i="2"/>
  <c r="Z12" i="2" s="1"/>
  <c r="AA11" i="2"/>
  <c r="AD27" i="2"/>
  <c r="W27" i="2"/>
  <c r="X11" i="2"/>
  <c r="Z11" i="2" s="1"/>
  <c r="Y26" i="2"/>
  <c r="Y25" i="2"/>
  <c r="Y24" i="2"/>
  <c r="AA23" i="2"/>
  <c r="W23" i="2"/>
  <c r="AD22" i="2"/>
  <c r="AD21" i="2"/>
  <c r="W21" i="2"/>
  <c r="AA20" i="2"/>
  <c r="Z102" i="2" a="1"/>
  <c r="Z102" i="2" s="1"/>
  <c r="Z96" i="2" a="1"/>
  <c r="Z96" i="2" s="1"/>
  <c r="X42" i="2"/>
  <c r="Z42" i="2" s="1"/>
  <c r="AJ42" i="2" s="1"/>
  <c r="AD41" i="2"/>
  <c r="W41" i="2"/>
  <c r="AD40" i="2"/>
  <c r="X40" i="2"/>
  <c r="Z40" i="2" s="1"/>
  <c r="AD39" i="2"/>
  <c r="AA35" i="2"/>
  <c r="X35" i="2"/>
  <c r="Z35" i="2" s="1"/>
  <c r="W35" i="2"/>
  <c r="AA34" i="2"/>
  <c r="X34" i="2"/>
  <c r="Z34" i="2" s="1"/>
  <c r="W34" i="2"/>
  <c r="AD33" i="2"/>
  <c r="X33" i="2"/>
  <c r="Z33" i="2" s="1"/>
  <c r="AJ33" i="2" s="1"/>
  <c r="AD32" i="2"/>
  <c r="X32" i="2"/>
  <c r="Z32" i="2" s="1"/>
  <c r="W32" i="2"/>
  <c r="AA31" i="2"/>
  <c r="X31" i="2"/>
  <c r="Z31" i="2" s="1"/>
  <c r="AD30" i="2"/>
  <c r="X30" i="2"/>
  <c r="Z30" i="2" s="1"/>
  <c r="AF30" i="2" s="1"/>
  <c r="W30" i="2"/>
  <c r="AD29" i="2"/>
  <c r="AA27" i="2"/>
  <c r="AA25" i="2"/>
  <c r="W40" i="2"/>
  <c r="Z94" i="2" a="1"/>
  <c r="Z94" i="2" s="1"/>
  <c r="Y42" i="2"/>
  <c r="AA41" i="2"/>
  <c r="AA40" i="2"/>
  <c r="AA39" i="2"/>
  <c r="X39" i="2"/>
  <c r="Z39" i="2" s="1"/>
  <c r="AF39" i="2" s="1"/>
  <c r="AA38" i="2"/>
  <c r="X38" i="2"/>
  <c r="Z38" i="2" s="1"/>
  <c r="AA37" i="2"/>
  <c r="X37" i="2"/>
  <c r="Z37" i="2" s="1"/>
  <c r="AD36" i="2"/>
  <c r="X36" i="2"/>
  <c r="Z36" i="2" s="1"/>
  <c r="AA29" i="2"/>
  <c r="W29" i="2"/>
  <c r="Y28" i="2"/>
  <c r="Y27" i="2"/>
  <c r="AD26" i="2"/>
  <c r="W26" i="2"/>
  <c r="AD25" i="2"/>
  <c r="X25" i="2"/>
  <c r="Z25" i="2" s="1"/>
  <c r="AA24" i="2"/>
  <c r="X24" i="2"/>
  <c r="Z24" i="2" s="1"/>
  <c r="AC24" i="2" s="1"/>
  <c r="AD23" i="2"/>
  <c r="X23" i="2"/>
  <c r="Z23" i="2" s="1"/>
  <c r="AA22" i="2"/>
  <c r="AA21" i="2"/>
  <c r="X21" i="2"/>
  <c r="Z21" i="2" s="1"/>
  <c r="AC21" i="2" s="1"/>
  <c r="AD20" i="2"/>
  <c r="Y20" i="2"/>
  <c r="X20" i="2"/>
  <c r="Z20" i="2" s="1"/>
  <c r="AC20" i="2" s="1"/>
  <c r="W20" i="2"/>
  <c r="AA19" i="2"/>
  <c r="Y19" i="2"/>
  <c r="W19" i="2"/>
  <c r="AD18" i="2"/>
  <c r="Y18" i="2"/>
  <c r="AA17" i="2"/>
  <c r="X17" i="2"/>
  <c r="Z17" i="2" s="1"/>
  <c r="AC17" i="2" s="1"/>
  <c r="W17" i="2"/>
  <c r="AA16" i="2"/>
  <c r="X16" i="2"/>
  <c r="Z16" i="2" s="1"/>
  <c r="AC16" i="2" s="1"/>
  <c r="AD15" i="2"/>
  <c r="AA15" i="2"/>
  <c r="Y15" i="2"/>
  <c r="X15" i="2"/>
  <c r="Z15" i="2" s="1"/>
  <c r="AD14" i="2"/>
  <c r="AA14" i="2"/>
  <c r="Y14" i="2"/>
  <c r="X14" i="2"/>
  <c r="Z14" i="2" s="1"/>
  <c r="W14" i="2"/>
  <c r="AD13" i="2"/>
  <c r="AA13" i="2"/>
  <c r="Y13" i="2"/>
  <c r="W13" i="2"/>
  <c r="AA12" i="2"/>
  <c r="Y12" i="2"/>
  <c r="W12" i="2"/>
  <c r="AD11" i="2"/>
  <c r="Y11" i="2"/>
  <c r="W11" i="2"/>
  <c r="P9" i="2"/>
  <c r="Z90" i="2" a="1"/>
  <c r="Z90" i="2" s="1"/>
  <c r="AA42" i="2"/>
  <c r="W42" i="2"/>
  <c r="X41" i="2"/>
  <c r="Z41" i="2" s="1"/>
  <c r="AF41" i="2" s="1"/>
  <c r="Y40" i="2"/>
  <c r="Y39" i="2"/>
  <c r="W39" i="2"/>
  <c r="AD38" i="2"/>
  <c r="Y38" i="2"/>
  <c r="W15" i="2"/>
  <c r="AD37" i="2"/>
  <c r="W37" i="2"/>
  <c r="Y36" i="2"/>
  <c r="Y35" i="2"/>
  <c r="Y34" i="2"/>
  <c r="AA33" i="2"/>
  <c r="W33" i="2"/>
  <c r="AA32" i="2"/>
  <c r="AD31" i="2"/>
  <c r="W31" i="2"/>
  <c r="AA30" i="2"/>
  <c r="Y29" i="2"/>
  <c r="AD28" i="2"/>
  <c r="X28" i="2"/>
  <c r="Z28" i="2" s="1"/>
  <c r="X27" i="2"/>
  <c r="Z27" i="2" s="1"/>
  <c r="AF27" i="2" s="1"/>
  <c r="AA26" i="2"/>
  <c r="AG85" i="2"/>
  <c r="AE85" i="2"/>
  <c r="AJ85" i="2"/>
  <c r="AF85" i="2"/>
  <c r="AH85" i="2"/>
  <c r="AI85" i="2" s="1"/>
  <c r="AI105" i="2" s="1"/>
  <c r="AK85" i="2"/>
  <c r="AD85" i="2"/>
  <c r="AC85" i="2"/>
  <c r="AM25" i="2"/>
  <c r="AN25" i="2" s="1"/>
  <c r="AM40" i="2"/>
  <c r="AN40" i="2" s="1"/>
  <c r="AM16" i="2"/>
  <c r="AN16" i="2" s="1"/>
  <c r="AN38" i="2"/>
  <c r="AP12" i="2"/>
  <c r="AP13" i="2"/>
  <c r="AM39" i="2"/>
  <c r="AO13" i="2"/>
  <c r="AO40" i="2"/>
  <c r="AO21" i="2"/>
  <c r="AM41" i="2"/>
  <c r="AP41" i="2"/>
  <c r="AM22" i="2"/>
  <c r="AN22" i="2" s="1"/>
  <c r="AN21" i="2"/>
  <c r="AN42" i="2"/>
  <c r="AM24" i="2"/>
  <c r="AN24" i="2" s="1"/>
  <c r="AM19" i="2"/>
  <c r="AO37" i="2"/>
  <c r="AM37" i="2"/>
  <c r="AM13" i="2"/>
  <c r="AN13" i="2" s="1"/>
  <c r="AP15" i="2"/>
  <c r="AO24" i="2"/>
  <c r="AP24" i="2"/>
  <c r="AN19" i="2"/>
  <c r="AO19" i="2"/>
  <c r="AP36" i="2"/>
  <c r="AO36" i="2"/>
  <c r="AM36" i="2"/>
  <c r="AN36" i="2" s="1"/>
  <c r="AO15" i="2"/>
  <c r="AP25" i="2"/>
  <c r="AP19" i="2"/>
  <c r="AM26" i="2"/>
  <c r="AN26" i="2" s="1"/>
  <c r="AO26" i="2"/>
  <c r="AP39" i="2"/>
  <c r="AM15" i="2"/>
  <c r="AN15" i="2" s="1"/>
  <c r="AO39" i="2"/>
  <c r="AM28" i="2"/>
  <c r="AN28" i="2" s="1"/>
  <c r="AP27" i="2"/>
  <c r="AO27" i="2"/>
  <c r="AM27" i="2"/>
  <c r="AN27" i="2" s="1"/>
  <c r="AM33" i="2"/>
  <c r="AP11" i="2"/>
  <c r="AO12" i="2"/>
  <c r="AO28" i="2"/>
  <c r="AP22" i="2"/>
  <c r="AP40" i="2"/>
  <c r="AP26" i="2"/>
  <c r="AP28" i="2"/>
  <c r="AM29" i="2"/>
  <c r="AN12" i="2"/>
  <c r="AN39" i="2"/>
  <c r="AN29" i="2"/>
  <c r="AO29" i="2"/>
  <c r="AP33" i="2"/>
  <c r="AM30" i="2"/>
  <c r="AN30" i="2" s="1"/>
  <c r="AM32" i="2"/>
  <c r="AN32" i="2" s="1"/>
  <c r="AP29" i="2"/>
  <c r="AN37" i="2"/>
  <c r="AO23" i="2"/>
  <c r="AM23" i="2"/>
  <c r="AN23" i="2" s="1"/>
  <c r="AO33" i="2"/>
  <c r="AN33" i="2"/>
  <c r="AO35" i="2"/>
  <c r="AN41" i="2"/>
  <c r="AO22" i="2"/>
  <c r="AO41" i="2"/>
  <c r="AM35" i="2"/>
  <c r="AN35" i="2" s="1"/>
  <c r="AP35" i="2"/>
  <c r="AM21" i="2"/>
  <c r="AM20" i="2"/>
  <c r="AN20" i="2" s="1"/>
  <c r="AM14" i="2"/>
  <c r="AN14" i="2" s="1"/>
  <c r="AM11" i="2"/>
  <c r="AM38" i="2"/>
  <c r="AM34" i="2"/>
  <c r="AN34" i="2" s="1"/>
  <c r="AM12" i="2"/>
  <c r="AM42" i="2"/>
  <c r="AM18" i="2"/>
  <c r="AN18" i="2" s="1"/>
  <c r="AM10" i="2"/>
  <c r="AM31" i="2"/>
  <c r="AM17" i="2"/>
  <c r="AN17" i="2" s="1"/>
  <c r="AI38" i="2"/>
  <c r="AJ38" i="2" s="1"/>
  <c r="AL19" i="2"/>
  <c r="AI37" i="2"/>
  <c r="AJ37" i="2" s="1"/>
  <c r="AI27" i="2"/>
  <c r="AJ27" i="2" s="1"/>
  <c r="AI25" i="2"/>
  <c r="AJ25" i="2" s="1"/>
  <c r="AI23" i="2"/>
  <c r="AI20" i="2"/>
  <c r="AJ20" i="2" s="1"/>
  <c r="AI31" i="2"/>
  <c r="AI18" i="2"/>
  <c r="AJ18" i="2" s="1"/>
  <c r="AI17" i="2"/>
  <c r="AJ17" i="2" s="1"/>
  <c r="AI16" i="2"/>
  <c r="AJ16" i="2" s="1"/>
  <c r="AI32" i="2"/>
  <c r="AI14" i="2"/>
  <c r="AJ14" i="2" s="1"/>
  <c r="AI13" i="2"/>
  <c r="AJ13" i="2" s="1"/>
  <c r="AI33" i="2"/>
  <c r="AI15" i="2"/>
  <c r="AJ15" i="2" s="1"/>
  <c r="AI11" i="2"/>
  <c r="AJ11" i="2" s="1"/>
  <c r="AI10" i="2"/>
  <c r="AJ10" i="2" s="1"/>
  <c r="AI21" i="2"/>
  <c r="AJ21" i="2" s="1"/>
  <c r="AI24" i="2"/>
  <c r="AJ24" i="2" s="1"/>
  <c r="AI36" i="2"/>
  <c r="AI35" i="2"/>
  <c r="AJ35" i="2" s="1"/>
  <c r="AI34" i="2"/>
  <c r="AI29" i="2"/>
  <c r="AI28" i="2"/>
  <c r="AI40" i="2"/>
  <c r="AI22" i="2"/>
  <c r="AI19" i="2"/>
  <c r="AI39" i="2"/>
  <c r="AJ39" i="2" s="1"/>
  <c r="AI12" i="2"/>
  <c r="AI42" i="2"/>
  <c r="AI41" i="2"/>
  <c r="AJ41" i="2" s="1"/>
  <c r="AI26" i="2"/>
  <c r="AI30" i="2"/>
  <c r="AJ30" i="2" s="1"/>
  <c r="AE19" i="2"/>
  <c r="AE33" i="2"/>
  <c r="AF33" i="2" s="1"/>
  <c r="AE14" i="2"/>
  <c r="AE13" i="2"/>
  <c r="AF13" i="2" s="1"/>
  <c r="AE22" i="2"/>
  <c r="AE35" i="2"/>
  <c r="AF35" i="2" s="1"/>
  <c r="AE34" i="2"/>
  <c r="AE24" i="2"/>
  <c r="AF24" i="2" s="1"/>
  <c r="AE32" i="2"/>
  <c r="AE10" i="2"/>
  <c r="AF10" i="2" s="1"/>
  <c r="AE29" i="2"/>
  <c r="AE15" i="2"/>
  <c r="AE28" i="2"/>
  <c r="AE27" i="2"/>
  <c r="AE37" i="2"/>
  <c r="AF37" i="2" s="1"/>
  <c r="AE38" i="2"/>
  <c r="AF38" i="2" s="1"/>
  <c r="AE20" i="2"/>
  <c r="AF20" i="2" s="1"/>
  <c r="AE42" i="2"/>
  <c r="AF42" i="2" s="1"/>
  <c r="AE25" i="2"/>
  <c r="AF25" i="2" s="1"/>
  <c r="AE12" i="2"/>
  <c r="AF12" i="2" s="1"/>
  <c r="AE16" i="2"/>
  <c r="AF16" i="2" s="1"/>
  <c r="AE21" i="2"/>
  <c r="AF21" i="2" s="1"/>
  <c r="AE18" i="2"/>
  <c r="AF18" i="2" s="1"/>
  <c r="AH19" i="2"/>
  <c r="AE30" i="2"/>
  <c r="AE17" i="2"/>
  <c r="AF17" i="2" s="1"/>
  <c r="AE39" i="2"/>
  <c r="AE36" i="2"/>
  <c r="AE23" i="2"/>
  <c r="AE41" i="2"/>
  <c r="AE26" i="2"/>
  <c r="AE11" i="2"/>
  <c r="AF11" i="2" s="1"/>
  <c r="AE40" i="2"/>
  <c r="AE31" i="2"/>
  <c r="AF31" i="2" s="1"/>
  <c r="AC87" i="2" l="1"/>
  <c r="AD87" i="2"/>
  <c r="AE87" i="2"/>
  <c r="AF87" i="2"/>
  <c r="AG87" i="2"/>
  <c r="AH87" i="2"/>
  <c r="AI87" i="2" s="1"/>
  <c r="AJ87" i="2"/>
  <c r="AK87" i="2"/>
  <c r="AB88" i="2"/>
  <c r="AM86" i="2"/>
  <c r="AN86" i="2"/>
  <c r="AV10" i="2"/>
  <c r="AU11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X9" i="2"/>
  <c r="AA9" i="2"/>
  <c r="W9" i="2"/>
  <c r="Y9" i="2"/>
  <c r="Y43" i="2" s="1"/>
  <c r="Z9" i="2"/>
  <c r="AD9" i="2"/>
  <c r="V85" i="2"/>
  <c r="Y97" i="2"/>
  <c r="P312" i="2"/>
  <c r="P324" i="2"/>
  <c r="P330" i="2"/>
  <c r="P333" i="2"/>
  <c r="P334" i="2"/>
  <c r="P335" i="2"/>
  <c r="P336" i="2"/>
  <c r="P339" i="2"/>
  <c r="P343" i="2"/>
  <c r="P345" i="2"/>
  <c r="P349" i="2"/>
  <c r="P353" i="2"/>
  <c r="P354" i="2"/>
  <c r="P355" i="2"/>
  <c r="P356" i="2"/>
  <c r="P358" i="2"/>
  <c r="P359" i="2"/>
  <c r="P360" i="2"/>
  <c r="P361" i="2"/>
  <c r="P362" i="2"/>
  <c r="P363" i="2"/>
  <c r="P365" i="2"/>
  <c r="P366" i="2"/>
  <c r="P369" i="2"/>
  <c r="P370" i="2"/>
  <c r="P371" i="2"/>
  <c r="P374" i="2"/>
  <c r="P375" i="2"/>
  <c r="P388" i="2"/>
  <c r="P392" i="2"/>
  <c r="P395" i="2"/>
  <c r="P399" i="2"/>
  <c r="P404" i="2"/>
  <c r="P406" i="2"/>
  <c r="P407" i="2"/>
  <c r="P410" i="2"/>
  <c r="P413" i="2"/>
  <c r="P414" i="2"/>
  <c r="P418" i="2"/>
  <c r="P425" i="2"/>
  <c r="P427" i="2"/>
  <c r="P428" i="2"/>
  <c r="P429" i="2"/>
  <c r="P430" i="2"/>
  <c r="P431" i="2"/>
  <c r="P432" i="2"/>
  <c r="P433" i="2"/>
  <c r="P434" i="2"/>
  <c r="P435" i="2"/>
  <c r="P436" i="2"/>
  <c r="P247" i="2"/>
  <c r="P293" i="2"/>
  <c r="P294" i="2"/>
  <c r="P295" i="2"/>
  <c r="P296" i="2"/>
  <c r="P297" i="2"/>
  <c r="P298" i="2"/>
  <c r="P299" i="2"/>
  <c r="P300" i="2"/>
  <c r="P301" i="2"/>
  <c r="P302" i="2"/>
  <c r="P303" i="2"/>
  <c r="P304" i="2"/>
  <c r="P305" i="2"/>
  <c r="P306" i="2"/>
  <c r="P307" i="2"/>
  <c r="P308" i="2"/>
  <c r="P309" i="2"/>
  <c r="P310" i="2"/>
  <c r="P311" i="2"/>
  <c r="P313" i="2"/>
  <c r="P314" i="2"/>
  <c r="P315" i="2"/>
  <c r="P316" i="2"/>
  <c r="P317" i="2"/>
  <c r="P318" i="2"/>
  <c r="P319" i="2"/>
  <c r="P320" i="2"/>
  <c r="P321" i="2"/>
  <c r="P322" i="2"/>
  <c r="P323" i="2"/>
  <c r="P325" i="2"/>
  <c r="P326" i="2"/>
  <c r="P327" i="2"/>
  <c r="P328" i="2"/>
  <c r="P329" i="2"/>
  <c r="P331" i="2"/>
  <c r="P332" i="2"/>
  <c r="P337" i="2"/>
  <c r="P338" i="2"/>
  <c r="P340" i="2"/>
  <c r="P341" i="2"/>
  <c r="P342" i="2"/>
  <c r="P344" i="2"/>
  <c r="P346" i="2"/>
  <c r="P347" i="2"/>
  <c r="P348" i="2"/>
  <c r="P350" i="2"/>
  <c r="P351" i="2"/>
  <c r="P352" i="2"/>
  <c r="P357" i="2"/>
  <c r="P364" i="2"/>
  <c r="P367" i="2"/>
  <c r="P368" i="2"/>
  <c r="P372" i="2"/>
  <c r="P373" i="2"/>
  <c r="P376" i="2"/>
  <c r="P377" i="2"/>
  <c r="P378" i="2"/>
  <c r="P379" i="2"/>
  <c r="P380" i="2"/>
  <c r="P381" i="2"/>
  <c r="P382" i="2"/>
  <c r="P383" i="2"/>
  <c r="P384" i="2"/>
  <c r="P385" i="2"/>
  <c r="P386" i="2"/>
  <c r="P387" i="2"/>
  <c r="P389" i="2"/>
  <c r="P390" i="2"/>
  <c r="P391" i="2"/>
  <c r="P393" i="2"/>
  <c r="P394" i="2"/>
  <c r="P396" i="2"/>
  <c r="P397" i="2"/>
  <c r="P398" i="2"/>
  <c r="P400" i="2"/>
  <c r="P401" i="2"/>
  <c r="P402" i="2"/>
  <c r="P403" i="2"/>
  <c r="P405" i="2"/>
  <c r="P408" i="2"/>
  <c r="P409" i="2"/>
  <c r="P411" i="2"/>
  <c r="P412" i="2"/>
  <c r="P415" i="2"/>
  <c r="P416" i="2"/>
  <c r="P417" i="2"/>
  <c r="P419" i="2"/>
  <c r="P420" i="2"/>
  <c r="P421" i="2"/>
  <c r="P422" i="2"/>
  <c r="P423" i="2"/>
  <c r="P424" i="2"/>
  <c r="P426" i="2"/>
  <c r="W86" i="2"/>
  <c r="X86" i="2"/>
  <c r="Y86" i="2"/>
  <c r="Z86" i="2" a="1"/>
  <c r="Z86" i="2" s="1"/>
  <c r="AL85" i="2"/>
  <c r="AM85" i="2"/>
  <c r="AN85" i="2"/>
  <c r="AC41" i="2"/>
  <c r="AC39" i="2"/>
  <c r="AC38" i="2"/>
  <c r="Y80" i="2"/>
  <c r="AC31" i="2"/>
  <c r="Z80" i="2"/>
  <c r="X80" i="2"/>
  <c r="AC36" i="2"/>
  <c r="AC28" i="2"/>
  <c r="AC35" i="2"/>
  <c r="AC34" i="2"/>
  <c r="AC27" i="2"/>
  <c r="AC25" i="2"/>
  <c r="AC37" i="2"/>
  <c r="AC10" i="2"/>
  <c r="AN10" i="2"/>
  <c r="X99" i="2"/>
  <c r="W92" i="2"/>
  <c r="W97" i="2"/>
  <c r="Y98" i="2"/>
  <c r="X98" i="2"/>
  <c r="W93" i="2"/>
  <c r="X93" i="2"/>
  <c r="Y93" i="2"/>
  <c r="W98" i="2"/>
  <c r="W99" i="2"/>
  <c r="W94" i="2"/>
  <c r="X88" i="2"/>
  <c r="X94" i="2"/>
  <c r="Y94" i="2"/>
  <c r="Y99" i="2"/>
  <c r="W100" i="2"/>
  <c r="X97" i="2"/>
  <c r="X100" i="2"/>
  <c r="W87" i="2"/>
  <c r="X87" i="2"/>
  <c r="Y100" i="2"/>
  <c r="Y87" i="2"/>
  <c r="AI9" i="2"/>
  <c r="AI43" i="2" s="1"/>
  <c r="Y101" i="2"/>
  <c r="W101" i="2"/>
  <c r="W88" i="2"/>
  <c r="Y88" i="2"/>
  <c r="X101" i="2"/>
  <c r="Y95" i="2"/>
  <c r="X102" i="2"/>
  <c r="Y102" i="2"/>
  <c r="X95" i="2"/>
  <c r="W95" i="2"/>
  <c r="W102" i="2"/>
  <c r="Y96" i="2"/>
  <c r="X96" i="2"/>
  <c r="W96" i="2"/>
  <c r="AM9" i="2"/>
  <c r="W103" i="2"/>
  <c r="X103" i="2"/>
  <c r="X104" i="2"/>
  <c r="Y105" i="2"/>
  <c r="X105" i="2"/>
  <c r="Y103" i="2"/>
  <c r="W105" i="2"/>
  <c r="W106" i="2"/>
  <c r="X106" i="2"/>
  <c r="Y104" i="2"/>
  <c r="Y106" i="2"/>
  <c r="Y107" i="2"/>
  <c r="X107" i="2"/>
  <c r="W107" i="2"/>
  <c r="W104" i="2"/>
  <c r="AE9" i="2"/>
  <c r="AE43" i="2" s="1"/>
  <c r="W89" i="2"/>
  <c r="X89" i="2"/>
  <c r="Y89" i="2"/>
  <c r="W90" i="2"/>
  <c r="X90" i="2"/>
  <c r="Y90" i="2"/>
  <c r="Y91" i="2"/>
  <c r="X91" i="2"/>
  <c r="W91" i="2"/>
  <c r="Y92" i="2"/>
  <c r="X92" i="2"/>
  <c r="AK10" i="2"/>
  <c r="AO10" i="2"/>
  <c r="AG10" i="2"/>
  <c r="AL10" i="2"/>
  <c r="AP10" i="2"/>
  <c r="AH10" i="2"/>
  <c r="AF26" i="2"/>
  <c r="AJ26" i="2"/>
  <c r="AL42" i="2"/>
  <c r="AP42" i="2"/>
  <c r="AH42" i="2"/>
  <c r="AH24" i="2"/>
  <c r="AL24" i="2"/>
  <c r="AC22" i="2"/>
  <c r="AJ22" i="2"/>
  <c r="AF22" i="2"/>
  <c r="AB36" i="2"/>
  <c r="AK36" i="2"/>
  <c r="AG36" i="2"/>
  <c r="AL35" i="2"/>
  <c r="AH35" i="2"/>
  <c r="AC19" i="2"/>
  <c r="AJ19" i="2"/>
  <c r="AF19" i="2"/>
  <c r="AG18" i="2"/>
  <c r="AK18" i="2"/>
  <c r="AO18" i="2"/>
  <c r="AH34" i="2"/>
  <c r="AP34" i="2"/>
  <c r="AL34" i="2"/>
  <c r="AP17" i="2"/>
  <c r="AL17" i="2"/>
  <c r="AH17" i="2"/>
  <c r="AF29" i="2"/>
  <c r="AJ29" i="2"/>
  <c r="AL16" i="2"/>
  <c r="AP16" i="2"/>
  <c r="AH16" i="2"/>
  <c r="AH12" i="2"/>
  <c r="AL12" i="2"/>
  <c r="AB28" i="2"/>
  <c r="AK28" i="2"/>
  <c r="AG28" i="2"/>
  <c r="AC12" i="2"/>
  <c r="AJ12" i="2"/>
  <c r="AO11" i="2"/>
  <c r="AG11" i="2"/>
  <c r="AK11" i="2"/>
  <c r="AH27" i="2"/>
  <c r="AL27" i="2"/>
  <c r="AC11" i="2"/>
  <c r="AN11" i="2"/>
  <c r="AK23" i="2"/>
  <c r="AG23" i="2"/>
  <c r="AL22" i="2"/>
  <c r="AH22" i="2"/>
  <c r="AP21" i="2"/>
  <c r="AL21" i="2"/>
  <c r="AH21" i="2"/>
  <c r="AO20" i="2"/>
  <c r="AG20" i="2"/>
  <c r="AK20" i="2"/>
  <c r="AH41" i="2"/>
  <c r="AL41" i="2"/>
  <c r="AL40" i="2"/>
  <c r="AH40" i="2"/>
  <c r="AF40" i="2"/>
  <c r="AJ40" i="2"/>
  <c r="AL39" i="2"/>
  <c r="AH39" i="2"/>
  <c r="AB35" i="2"/>
  <c r="AG35" i="2"/>
  <c r="AK35" i="2"/>
  <c r="AB34" i="2"/>
  <c r="AK34" i="2"/>
  <c r="AG34" i="2"/>
  <c r="AO34" i="2"/>
  <c r="AF34" i="2"/>
  <c r="AJ34" i="2"/>
  <c r="AH33" i="2"/>
  <c r="AL33" i="2"/>
  <c r="AP32" i="2"/>
  <c r="AH32" i="2"/>
  <c r="AL32" i="2"/>
  <c r="AF32" i="2"/>
  <c r="AJ32" i="2"/>
  <c r="AB31" i="2"/>
  <c r="AG31" i="2"/>
  <c r="AK31" i="2"/>
  <c r="AO31" i="2"/>
  <c r="AJ31" i="2"/>
  <c r="AN31" i="2"/>
  <c r="AL30" i="2"/>
  <c r="AP30" i="2"/>
  <c r="AH30" i="2"/>
  <c r="AH29" i="2"/>
  <c r="AL29" i="2"/>
  <c r="AB27" i="2"/>
  <c r="AK27" i="2"/>
  <c r="AG27" i="2"/>
  <c r="AB25" i="2"/>
  <c r="AG25" i="2"/>
  <c r="AK25" i="2"/>
  <c r="AO25" i="2"/>
  <c r="AB41" i="2"/>
  <c r="AG41" i="2"/>
  <c r="AK41" i="2"/>
  <c r="AB40" i="2"/>
  <c r="AC40" i="2" s="1"/>
  <c r="AK40" i="2"/>
  <c r="AG40" i="2"/>
  <c r="AB39" i="2"/>
  <c r="AK39" i="2"/>
  <c r="AG39" i="2"/>
  <c r="AB38" i="2"/>
  <c r="AK38" i="2"/>
  <c r="AO38" i="2"/>
  <c r="AG38" i="2"/>
  <c r="AB37" i="2"/>
  <c r="AG37" i="2"/>
  <c r="AK37" i="2"/>
  <c r="AH36" i="2"/>
  <c r="AL36" i="2"/>
  <c r="AJ36" i="2"/>
  <c r="AF36" i="2"/>
  <c r="AB29" i="2"/>
  <c r="AC29" i="2" s="1"/>
  <c r="AK29" i="2"/>
  <c r="AG29" i="2"/>
  <c r="AL26" i="2"/>
  <c r="AH26" i="2"/>
  <c r="AH25" i="2"/>
  <c r="AL25" i="2"/>
  <c r="AG24" i="2"/>
  <c r="AK24" i="2"/>
  <c r="AP23" i="2"/>
  <c r="AH23" i="2"/>
  <c r="AL23" i="2"/>
  <c r="AC23" i="2"/>
  <c r="AF23" i="2"/>
  <c r="AJ23" i="2"/>
  <c r="AG22" i="2"/>
  <c r="AK22" i="2"/>
  <c r="AG21" i="2"/>
  <c r="AK21" i="2"/>
  <c r="AP20" i="2"/>
  <c r="AL20" i="2"/>
  <c r="AH20" i="2"/>
  <c r="AK19" i="2"/>
  <c r="AG19" i="2"/>
  <c r="AH18" i="2"/>
  <c r="AP18" i="2"/>
  <c r="AL18" i="2"/>
  <c r="AK17" i="2"/>
  <c r="AO17" i="2"/>
  <c r="AG17" i="2"/>
  <c r="AO16" i="2"/>
  <c r="AG16" i="2"/>
  <c r="AK16" i="2"/>
  <c r="AL15" i="2"/>
  <c r="AH15" i="2"/>
  <c r="AK15" i="2"/>
  <c r="AG15" i="2"/>
  <c r="AC15" i="2"/>
  <c r="AF15" i="2"/>
  <c r="AP14" i="2"/>
  <c r="AH14" i="2"/>
  <c r="AL14" i="2"/>
  <c r="AK14" i="2"/>
  <c r="AO14" i="2"/>
  <c r="AG14" i="2"/>
  <c r="AC14" i="2"/>
  <c r="AF14" i="2"/>
  <c r="AL13" i="2"/>
  <c r="AH13" i="2"/>
  <c r="AG13" i="2"/>
  <c r="AK13" i="2"/>
  <c r="AG12" i="2"/>
  <c r="AK12" i="2"/>
  <c r="AL11" i="2"/>
  <c r="AH11" i="2"/>
  <c r="AB42" i="2"/>
  <c r="AC42" i="2" s="1"/>
  <c r="AG42" i="2"/>
  <c r="AK42" i="2"/>
  <c r="AO42" i="2"/>
  <c r="AL38" i="2"/>
  <c r="AH38" i="2"/>
  <c r="AP38" i="2"/>
  <c r="AL37" i="2"/>
  <c r="AH37" i="2"/>
  <c r="AP37" i="2"/>
  <c r="AB33" i="2"/>
  <c r="AC33" i="2" s="1"/>
  <c r="AG33" i="2"/>
  <c r="AK33" i="2"/>
  <c r="AB32" i="2"/>
  <c r="AC32" i="2" s="1"/>
  <c r="AO32" i="2"/>
  <c r="AK32" i="2"/>
  <c r="AG32" i="2"/>
  <c r="AP31" i="2"/>
  <c r="AH31" i="2"/>
  <c r="AL31" i="2"/>
  <c r="AB30" i="2"/>
  <c r="AC30" i="2" s="1"/>
  <c r="AK30" i="2"/>
  <c r="AG30" i="2"/>
  <c r="AO30" i="2"/>
  <c r="AL28" i="2"/>
  <c r="AH28" i="2"/>
  <c r="AJ28" i="2"/>
  <c r="AF28" i="2"/>
  <c r="AB26" i="2"/>
  <c r="AC26" i="2" s="1"/>
  <c r="AK26" i="2"/>
  <c r="AG26" i="2"/>
  <c r="AM87" i="2" l="1"/>
  <c r="AN87" i="2"/>
  <c r="AC88" i="2"/>
  <c r="AD88" i="2"/>
  <c r="AE88" i="2"/>
  <c r="AF88" i="2"/>
  <c r="AG88" i="2"/>
  <c r="AH88" i="2"/>
  <c r="AJ88" i="2"/>
  <c r="AL88" i="2" s="1"/>
  <c r="AK88" i="2"/>
  <c r="AB89" i="2"/>
  <c r="AV11" i="2"/>
  <c r="AU12" i="2"/>
  <c r="X43" i="2"/>
  <c r="AB43" i="2"/>
  <c r="AD43" i="2"/>
  <c r="Z43" i="2"/>
  <c r="AE106" i="2" s="1"/>
  <c r="AD68" i="2" a="1"/>
  <c r="AD68" i="2" s="1"/>
  <c r="AC70" i="2"/>
  <c r="AF70" i="2" a="1"/>
  <c r="AF70" i="2" s="1"/>
  <c r="AF68" i="2" a="1"/>
  <c r="AF68" i="2" s="1"/>
  <c r="AC69" i="2"/>
  <c r="AE69" i="2" s="1" a="1"/>
  <c r="AE69" i="2" s="1"/>
  <c r="AE73" i="2" s="1"/>
  <c r="AF69" i="2" a="1"/>
  <c r="AF69" i="2" s="1"/>
  <c r="AC71" i="2"/>
  <c r="AF71" i="2" s="1" a="1"/>
  <c r="AF71" i="2" s="1"/>
  <c r="AE71" i="2" a="1"/>
  <c r="AE71" i="2" s="1"/>
  <c r="AC68" i="2"/>
  <c r="AD69" i="2" a="1"/>
  <c r="AD69" i="2" s="1"/>
  <c r="AD70" i="2" a="1"/>
  <c r="AD70" i="2" s="1"/>
  <c r="AE70" i="2" a="1"/>
  <c r="AE70" i="2" s="1"/>
  <c r="AD71" i="2" a="1"/>
  <c r="AD71" i="2" s="1"/>
  <c r="AE72" i="2" a="1"/>
  <c r="AE72" i="2" s="1"/>
  <c r="AE68" i="2" a="1"/>
  <c r="AE68" i="2" s="1"/>
  <c r="AC72" i="2"/>
  <c r="W85" i="2"/>
  <c r="X85" i="2"/>
  <c r="Z85" i="2" a="1"/>
  <c r="Z85" i="2" s="1"/>
  <c r="Y85" i="2"/>
  <c r="W81" i="2"/>
  <c r="Y81" i="2"/>
  <c r="AL87" i="2"/>
  <c r="AG9" i="2"/>
  <c r="AG43" i="2" s="1"/>
  <c r="AK9" i="2"/>
  <c r="AK43" i="2" s="1"/>
  <c r="AO9" i="2"/>
  <c r="AO43" i="2" s="1"/>
  <c r="AC9" i="2"/>
  <c r="AJ9" i="2"/>
  <c r="AJ43" i="2" s="1"/>
  <c r="AF9" i="2"/>
  <c r="AF43" i="2" s="1"/>
  <c r="AL9" i="2"/>
  <c r="AL43" i="2" s="1"/>
  <c r="AP9" i="2"/>
  <c r="AP43" i="2" s="1"/>
  <c r="AH9" i="2"/>
  <c r="AH43" i="2" s="1"/>
  <c r="AM43" i="2"/>
  <c r="AN9" i="2"/>
  <c r="AN43" i="2" s="1"/>
  <c r="AM88" i="2" l="1"/>
  <c r="AN88" i="2"/>
  <c r="AC89" i="2"/>
  <c r="AD89" i="2"/>
  <c r="AE89" i="2"/>
  <c r="AF89" i="2"/>
  <c r="AG89" i="2"/>
  <c r="AH89" i="2"/>
  <c r="AI89" i="2" s="1"/>
  <c r="AJ89" i="2"/>
  <c r="AK89" i="2"/>
  <c r="AB90" i="2"/>
  <c r="AV12" i="2"/>
  <c r="AU13" i="2"/>
  <c r="AE44" i="2"/>
  <c r="AM44" i="2"/>
  <c r="AI44" i="2"/>
  <c r="X45" i="2"/>
  <c r="X46" i="2" s="1"/>
  <c r="AK106" i="2"/>
  <c r="AC48" i="2"/>
  <c r="AG48" i="2"/>
  <c r="AG47" i="2"/>
  <c r="AH44" i="2"/>
  <c r="AL44" i="2"/>
  <c r="AK47" i="2"/>
  <c r="AK48" i="2"/>
  <c r="AP44" i="2"/>
  <c r="AO48" i="2"/>
  <c r="AO47" i="2"/>
  <c r="W108" i="2"/>
  <c r="AC73" i="2"/>
  <c r="AI88" i="2"/>
  <c r="AA43" i="2"/>
  <c r="AC47" i="2" s="1"/>
  <c r="AC43" i="2"/>
  <c r="AF72" i="2" a="1"/>
  <c r="AF72" i="2" s="1"/>
  <c r="AF73" i="2" s="1"/>
  <c r="AD72" i="2" a="1"/>
  <c r="AD72" i="2" s="1"/>
  <c r="AD73" i="2" s="1"/>
  <c r="AL89" i="2" l="1"/>
  <c r="AM89" i="2"/>
  <c r="AN89" i="2"/>
  <c r="AC90" i="2"/>
  <c r="AD90" i="2"/>
  <c r="AE90" i="2"/>
  <c r="AF90" i="2"/>
  <c r="AG90" i="2"/>
  <c r="AH90" i="2"/>
  <c r="AI90" i="2" s="1"/>
  <c r="AJ90" i="2"/>
  <c r="AK90" i="2"/>
  <c r="AB91" i="2"/>
  <c r="AV13" i="2"/>
  <c r="AU14" i="2"/>
  <c r="AM106" i="2"/>
  <c r="AJ106" i="2"/>
  <c r="AD44" i="2"/>
  <c r="Y108" i="2"/>
  <c r="Z108" i="2"/>
  <c r="X108" i="2"/>
  <c r="AM90" i="2" l="1"/>
  <c r="AN90" i="2"/>
  <c r="AC91" i="2"/>
  <c r="AD91" i="2"/>
  <c r="AE91" i="2"/>
  <c r="AF91" i="2"/>
  <c r="AG91" i="2"/>
  <c r="AH91" i="2"/>
  <c r="AI91" i="2" s="1"/>
  <c r="AJ91" i="2"/>
  <c r="AL91" i="2" s="1"/>
  <c r="AK91" i="2"/>
  <c r="AB92" i="2"/>
  <c r="AV14" i="2"/>
  <c r="AU15" i="2"/>
  <c r="AL90" i="2"/>
  <c r="AL106" i="2"/>
  <c r="AN106" i="2"/>
  <c r="AM91" i="2" l="1"/>
  <c r="AN91" i="2"/>
  <c r="AC92" i="2"/>
  <c r="AD92" i="2"/>
  <c r="AE92" i="2"/>
  <c r="AF92" i="2"/>
  <c r="AG92" i="2"/>
  <c r="AH92" i="2"/>
  <c r="AI92" i="2" s="1"/>
  <c r="AJ92" i="2"/>
  <c r="AL92" i="2" s="1"/>
  <c r="AK92" i="2"/>
  <c r="AB93" i="2"/>
  <c r="AV15" i="2"/>
  <c r="AU16" i="2"/>
  <c r="AM92" i="2" l="1"/>
  <c r="AN92" i="2"/>
  <c r="AD93" i="2"/>
  <c r="AF93" i="2"/>
  <c r="AH93" i="2"/>
  <c r="AI93" i="2" s="1"/>
  <c r="AK93" i="2"/>
  <c r="AB94" i="2"/>
  <c r="AC93" i="2"/>
  <c r="AE93" i="2"/>
  <c r="AG93" i="2"/>
  <c r="AJ93" i="2"/>
  <c r="AV16" i="2"/>
  <c r="AU17" i="2"/>
  <c r="AM93" i="2" l="1"/>
  <c r="AN93" i="2"/>
  <c r="AF94" i="2"/>
  <c r="AK94" i="2"/>
  <c r="AC94" i="2"/>
  <c r="AD94" i="2"/>
  <c r="AE94" i="2"/>
  <c r="AG94" i="2"/>
  <c r="AH94" i="2"/>
  <c r="AI94" i="2" s="1"/>
  <c r="AJ94" i="2"/>
  <c r="AL94" i="2" s="1"/>
  <c r="AB95" i="2"/>
  <c r="AU18" i="2"/>
  <c r="AV17" i="2"/>
  <c r="AL93" i="2"/>
  <c r="AM94" i="2" l="1"/>
  <c r="AN94" i="2"/>
  <c r="AC95" i="2"/>
  <c r="AD95" i="2"/>
  <c r="AE95" i="2"/>
  <c r="AF95" i="2"/>
  <c r="AG95" i="2"/>
  <c r="AH95" i="2"/>
  <c r="AI95" i="2" s="1"/>
  <c r="AJ95" i="2"/>
  <c r="AK95" i="2"/>
  <c r="AB96" i="2"/>
  <c r="AV18" i="2"/>
  <c r="AU19" i="2"/>
  <c r="AM95" i="2" l="1"/>
  <c r="AN95" i="2"/>
  <c r="AB97" i="2"/>
  <c r="AC96" i="2"/>
  <c r="AD96" i="2"/>
  <c r="AE96" i="2"/>
  <c r="AF96" i="2"/>
  <c r="AG96" i="2"/>
  <c r="AH96" i="2"/>
  <c r="AJ96" i="2"/>
  <c r="AL96" i="2" s="1"/>
  <c r="AK96" i="2"/>
  <c r="AV19" i="2"/>
  <c r="AU20" i="2"/>
  <c r="AV20" i="2" s="1"/>
  <c r="AL95" i="2"/>
  <c r="AC97" i="2" l="1"/>
  <c r="AD97" i="2"/>
  <c r="AE97" i="2"/>
  <c r="AF97" i="2"/>
  <c r="AG97" i="2"/>
  <c r="AH97" i="2"/>
  <c r="AI97" i="2" s="1"/>
  <c r="AJ97" i="2"/>
  <c r="AL97" i="2" s="1"/>
  <c r="AK97" i="2"/>
  <c r="AB98" i="2"/>
  <c r="AM96" i="2"/>
  <c r="AN96" i="2"/>
  <c r="AI96" i="2"/>
  <c r="AV21" i="2"/>
  <c r="AM97" i="2" l="1"/>
  <c r="AN97" i="2"/>
  <c r="AC98" i="2"/>
  <c r="AD98" i="2"/>
  <c r="AE98" i="2"/>
  <c r="AF98" i="2"/>
  <c r="AG98" i="2"/>
  <c r="AH98" i="2"/>
  <c r="AJ98" i="2"/>
  <c r="AL98" i="2" s="1"/>
  <c r="AK98" i="2"/>
  <c r="AB99" i="2"/>
  <c r="AM98" i="2" l="1"/>
  <c r="AN98" i="2"/>
  <c r="AC99" i="2"/>
  <c r="AD99" i="2"/>
  <c r="AE99" i="2"/>
  <c r="AF99" i="2"/>
  <c r="AG99" i="2"/>
  <c r="AH99" i="2"/>
  <c r="AI99" i="2" s="1"/>
  <c r="AJ99" i="2"/>
  <c r="AK99" i="2"/>
  <c r="AB100" i="2"/>
  <c r="AI98" i="2"/>
  <c r="AM99" i="2" l="1"/>
  <c r="AN99" i="2"/>
  <c r="AC100" i="2"/>
  <c r="AD100" i="2"/>
  <c r="AE100" i="2"/>
  <c r="AF100" i="2"/>
  <c r="AG100" i="2"/>
  <c r="AH100" i="2"/>
  <c r="AI100" i="2" s="1"/>
  <c r="AJ100" i="2"/>
  <c r="AL100" i="2" s="1"/>
  <c r="AK100" i="2"/>
  <c r="AB101" i="2"/>
  <c r="AL99" i="2"/>
  <c r="AM100" i="2" l="1"/>
  <c r="AN100" i="2"/>
  <c r="AC101" i="2"/>
  <c r="AD101" i="2"/>
  <c r="AE101" i="2"/>
  <c r="AF101" i="2"/>
  <c r="AG101" i="2"/>
  <c r="AH101" i="2"/>
  <c r="AI101" i="2" s="1"/>
  <c r="AJ101" i="2"/>
  <c r="AK101" i="2"/>
  <c r="AB102" i="2"/>
  <c r="AM101" i="2" l="1"/>
  <c r="AN101" i="2"/>
  <c r="AC102" i="2"/>
  <c r="AD102" i="2"/>
  <c r="AE102" i="2"/>
  <c r="AG102" i="2"/>
  <c r="AH102" i="2"/>
  <c r="AK102" i="2"/>
  <c r="AB103" i="2"/>
  <c r="AF102" i="2"/>
  <c r="AJ102" i="2"/>
  <c r="AL101" i="2"/>
  <c r="AM102" i="2" l="1"/>
  <c r="AN102" i="2"/>
  <c r="AC103" i="2"/>
  <c r="AD103" i="2"/>
  <c r="AE103" i="2"/>
  <c r="AF103" i="2"/>
  <c r="AG103" i="2"/>
  <c r="AH103" i="2"/>
  <c r="AI103" i="2" s="1"/>
  <c r="AJ103" i="2"/>
  <c r="AL103" i="2" s="1"/>
  <c r="AK103" i="2"/>
  <c r="AB104" i="2"/>
  <c r="AI102" i="2"/>
  <c r="AL102" i="2"/>
  <c r="AM103" i="2" l="1"/>
  <c r="AN103" i="2"/>
  <c r="AC104" i="2"/>
  <c r="AD104" i="2"/>
  <c r="AE104" i="2"/>
  <c r="AE105" i="2" s="1"/>
  <c r="AE107" i="2" s="1"/>
  <c r="AF104" i="2"/>
  <c r="AG104" i="2"/>
  <c r="AH104" i="2"/>
  <c r="AI104" i="2" s="1"/>
  <c r="AJ104" i="2"/>
  <c r="AK104" i="2"/>
  <c r="AJ105" i="2" l="1"/>
  <c r="AL104" i="2"/>
  <c r="AK105" i="2"/>
  <c r="AM104" i="2"/>
  <c r="AN104" i="2"/>
  <c r="AJ107" i="2" l="1"/>
  <c r="AL105" i="2"/>
  <c r="AL107" i="2" s="1"/>
  <c r="AM105" i="2"/>
  <c r="AM107" i="2" s="1"/>
  <c r="AK107" i="2"/>
  <c r="AN105" i="2"/>
  <c r="AN107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<sst xmlns="http://schemas.openxmlformats.org/spreadsheetml/2006/main" count="89" uniqueCount="68">
  <si>
    <t xml:space="preserve"> </t>
  </si>
  <si>
    <t>Rent Roll</t>
  </si>
  <si>
    <t>* Please do not delete data from column K &amp; L (hidden)</t>
  </si>
  <si>
    <t>Rent Roll Date</t>
  </si>
  <si>
    <t>0 to 90 Days</t>
  </si>
  <si>
    <t>0 to 60 Days</t>
  </si>
  <si>
    <t>0 to 30 days</t>
  </si>
  <si>
    <t>*If lease start date not available, put in date 364 days less than lease end date</t>
  </si>
  <si>
    <t>Rank</t>
  </si>
  <si>
    <t>Unit No</t>
  </si>
  <si>
    <t>Unit Type</t>
  </si>
  <si>
    <t>Renovation</t>
  </si>
  <si>
    <t>Unit Type+ Mix</t>
  </si>
  <si>
    <t>Unit Mix</t>
  </si>
  <si>
    <t>Size</t>
  </si>
  <si>
    <t>Move in Date</t>
  </si>
  <si>
    <t>Lease start date</t>
  </si>
  <si>
    <t>Lease End date</t>
  </si>
  <si>
    <t>Lease Start Month</t>
  </si>
  <si>
    <t>Lease End Month</t>
  </si>
  <si>
    <t>Resident Name</t>
  </si>
  <si>
    <t>Market Rent as per RR</t>
  </si>
  <si>
    <t>Market Rents for UW</t>
  </si>
  <si>
    <t>Effective Rents</t>
  </si>
  <si>
    <t>Renewed/New Lease</t>
  </si>
  <si>
    <t>% LTL/GTL</t>
  </si>
  <si>
    <t xml:space="preserve">AR </t>
  </si>
  <si>
    <t>Beds</t>
  </si>
  <si>
    <t>Units</t>
  </si>
  <si>
    <t>Vacant Units</t>
  </si>
  <si>
    <t>SF</t>
  </si>
  <si>
    <t>Target Market Rents before Reno</t>
  </si>
  <si>
    <t>UW Rent/SF</t>
  </si>
  <si>
    <t>Effective Rent</t>
  </si>
  <si>
    <t>Market Rent</t>
  </si>
  <si>
    <t>Lease Expiration Schedule</t>
  </si>
  <si>
    <t>No of leases</t>
  </si>
  <si>
    <t>Total Expiry in next 12 months</t>
  </si>
  <si>
    <t>Averages per Unit</t>
  </si>
  <si>
    <t>Vacancy</t>
  </si>
  <si>
    <t>Occupancy</t>
  </si>
  <si>
    <t>Loss to lease (Market rents as per RR)</t>
  </si>
  <si>
    <t>90 day Loss to lease</t>
  </si>
  <si>
    <t>60 day Loss to lease</t>
  </si>
  <si>
    <t>30 day Loss to lease</t>
  </si>
  <si>
    <t>Loss to lease (Market rents used for UW)</t>
  </si>
  <si>
    <t>Months</t>
  </si>
  <si>
    <t>No of Renewed Lease</t>
  </si>
  <si>
    <t>Avg LTL in Renewed Leases</t>
  </si>
  <si>
    <t>No of New Leases</t>
  </si>
  <si>
    <t>Avg LTL in New Lease</t>
  </si>
  <si>
    <t>No. of Units</t>
  </si>
  <si>
    <t>Avg RR Market rents</t>
  </si>
  <si>
    <t>Avg Target Market rents</t>
  </si>
  <si>
    <t>Avg In-place rents</t>
  </si>
  <si>
    <t>Studio</t>
  </si>
  <si>
    <t>Total/Average</t>
  </si>
  <si>
    <t>Total</t>
  </si>
  <si>
    <t xml:space="preserve">
#</t>
  </si>
  <si>
    <t>Lease Start Date</t>
  </si>
  <si>
    <t>Lease Length</t>
  </si>
  <si>
    <t>Market Rent PSF</t>
  </si>
  <si>
    <t>Effective Rent PSF</t>
  </si>
  <si>
    <t>LTL %</t>
  </si>
  <si>
    <t>Average Last 20 Leases</t>
  </si>
  <si>
    <t>Average Overall Rent Roll</t>
  </si>
  <si>
    <t>New Lease Gain / (Loss)</t>
  </si>
  <si>
    <t>SUM/AVERAGE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</si>
</sst>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6" formatCode="&quot;$&quot;#,##0_);[Red]\(&quot;$&quot;#,##0\)"/>
    <numFmt numFmtId="8" formatCode="&quot;$&quot;#,##0.00_);[Red]\(&quot;$&quot;#,##0.00\)"/>
    <numFmt numFmtId="43" formatCode="_(* #,##0.00_);_(* \(#,##0.00\);_(* &quot;-&quot;??_);_(@_)"/>
    <numFmt numFmtId="164" formatCode="[$-409]mmm\-yy;@"/>
    <numFmt numFmtId="165" formatCode="[$-409]d\-mmm\-yy;@"/>
    <numFmt numFmtId="166" formatCode="0\ &quot;BR&quot;"/>
    <numFmt numFmtId="167" formatCode="_(* #,##0_);_(* \(#,##0\);_(* &quot;-&quot;??_);_(@_)"/>
    <numFmt numFmtId="168" formatCode="[$-409]mmmm\-yy;@"/>
    <numFmt numFmtId="169" formatCode="0.0%"/>
    <numFmt numFmtId="170" formatCode="&quot;Top&quot;\ 0\ &quot;Leases (Avg.)&quot;"/>
    <numFmt numFmtId="171" formatCode="&quot;$&quot;#,##0"/>
    <numFmt numFmtId="172" formatCode="0\ &quot;SF&quot;"/>
    <numFmt numFmtId="173" formatCode="0.0\ &quot;Mo&quot;"/>
    <numFmt numFmtId="174" formatCode="0.0%;\(0.0%\)"/>
    <numFmt numFmtId="175" formatCode="0.0&quot; Mo&quot;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22"/>
      <color theme="0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i/>
      <sz val="8"/>
      <color rgb="FFFF0000"/>
      <name val="Aptos Narrow"/>
      <family val="2"/>
      <scheme val="minor"/>
    </font>
    <font>
      <b/>
      <i/>
      <sz val="11"/>
      <color rgb="FF0070C0"/>
      <name val="Aptos Narrow"/>
      <family val="2"/>
      <scheme val="minor"/>
    </font>
    <font>
      <sz val="11"/>
      <color rgb="FF0070C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79">
    <xf numFmtId="0" fontId="0" fillId="0" borderId="0" xfId="0"/>
    <xf numFmtId="0" fontId="4" fillId="2" borderId="0" xfId="0" applyFont="1" applyFill="1"/>
    <xf numFmtId="14" fontId="4" fillId="2" borderId="0" xfId="0" applyNumberFormat="1" applyFont="1" applyFill="1"/>
    <xf numFmtId="0" fontId="5" fillId="2" borderId="0" xfId="0" applyFont="1" applyFill="1"/>
    <xf numFmtId="0" fontId="2" fillId="2" borderId="0" xfId="0" applyFont="1" applyFill="1"/>
    <xf numFmtId="14" fontId="2" fillId="2" borderId="0" xfId="0" applyNumberFormat="1" applyFont="1" applyFill="1"/>
    <xf numFmtId="0" fontId="6" fillId="2" borderId="0" xfId="0" applyFont="1" applyFill="1"/>
    <xf numFmtId="0" fontId="7" fillId="2" borderId="0" xfId="0" applyFont="1" applyFill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0" fillId="0" borderId="0" xfId="1" applyNumberFormat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8" fillId="0" borderId="0" xfId="0" applyFont="1" applyAlignment="1">
      <alignment vertical="center"/>
    </xf>
    <xf numFmtId="6" fontId="0" fillId="0" borderId="0" xfId="0" applyNumberFormat="1" applyAlignment="1">
      <alignment vertical="center"/>
    </xf>
    <xf numFmtId="0" fontId="3" fillId="0" borderId="1" xfId="0" applyFont="1" applyBorder="1" applyAlignment="1">
      <alignment horizontal="center" vertical="center"/>
    </xf>
    <xf numFmtId="165" fontId="9" fillId="0" borderId="2" xfId="0" applyNumberFormat="1" applyFont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Continuous"/>
    </xf>
    <xf numFmtId="0" fontId="2" fillId="2" borderId="4" xfId="0" applyFont="1" applyFill="1" applyBorder="1" applyAlignment="1">
      <alignment horizontal="centerContinuous"/>
    </xf>
    <xf numFmtId="0" fontId="2" fillId="2" borderId="5" xfId="0" applyFont="1" applyFill="1" applyBorder="1" applyAlignment="1">
      <alignment horizontal="centerContinuous"/>
    </xf>
    <xf numFmtId="14" fontId="11" fillId="0" borderId="0" xfId="1" applyNumberFormat="1" applyFont="1" applyAlignment="1">
      <alignment horizontal="left" vertical="center"/>
    </xf>
    <xf numFmtId="0" fontId="2" fillId="2" borderId="6" xfId="0" applyFont="1" applyFill="1" applyBorder="1" applyAlignment="1">
      <alignment horizontal="center" vertical="center"/>
    </xf>
    <xf numFmtId="14" fontId="2" fillId="2" borderId="7" xfId="0" applyNumberFormat="1" applyFont="1" applyFill="1" applyBorder="1" applyAlignment="1">
      <alignment horizontal="center" vertical="center"/>
    </xf>
    <xf numFmtId="14" fontId="2" fillId="2" borderId="8" xfId="0" applyNumberFormat="1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14" fontId="2" fillId="2" borderId="7" xfId="0" applyNumberFormat="1" applyFont="1" applyFill="1" applyBorder="1" applyAlignment="1">
      <alignment horizontal="centerContinuous"/>
    </xf>
    <xf numFmtId="0" fontId="2" fillId="2" borderId="8" xfId="0" applyFont="1" applyFill="1" applyBorder="1" applyAlignment="1">
      <alignment horizontal="centerContinuous"/>
    </xf>
    <xf numFmtId="0" fontId="2" fillId="2" borderId="9" xfId="0" applyFont="1" applyFill="1" applyBorder="1" applyAlignment="1">
      <alignment horizontal="centerContinuous"/>
    </xf>
    <xf numFmtId="14" fontId="2" fillId="2" borderId="10" xfId="0" applyNumberFormat="1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14" fontId="2" fillId="2" borderId="10" xfId="1" applyNumberFormat="1" applyFont="1" applyFill="1" applyBorder="1" applyAlignment="1">
      <alignment horizontal="center" vertical="center" wrapText="1"/>
    </xf>
    <xf numFmtId="164" fontId="2" fillId="2" borderId="11" xfId="0" applyNumberFormat="1" applyFont="1" applyFill="1" applyBorder="1" applyAlignment="1">
      <alignment horizontal="center" vertical="center" wrapText="1"/>
    </xf>
    <xf numFmtId="6" fontId="2" fillId="2" borderId="10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0" fillId="0" borderId="10" xfId="0" applyBorder="1" applyAlignment="1">
      <alignment vertical="center"/>
    </xf>
    <xf numFmtId="166" fontId="10" fillId="0" borderId="10" xfId="0" applyNumberFormat="1" applyFont="1" applyBorder="1" applyAlignment="1">
      <alignment horizontal="center" vertical="center"/>
    </xf>
    <xf numFmtId="14" fontId="10" fillId="0" borderId="10" xfId="0" applyNumberFormat="1" applyFont="1" applyBorder="1" applyAlignment="1">
      <alignment horizontal="center" vertical="center"/>
    </xf>
    <xf numFmtId="14" fontId="10" fillId="0" borderId="10" xfId="1" applyNumberFormat="1" applyFont="1" applyFill="1" applyBorder="1" applyAlignment="1">
      <alignment horizontal="center" vertical="center"/>
    </xf>
    <xf numFmtId="14" fontId="10" fillId="0" borderId="1" xfId="1" applyNumberFormat="1" applyFont="1" applyFill="1" applyBorder="1" applyAlignment="1">
      <alignment horizontal="center" vertical="center"/>
    </xf>
    <xf numFmtId="164" fontId="12" fillId="0" borderId="1" xfId="1" applyNumberFormat="1" applyFont="1" applyFill="1" applyBorder="1" applyAlignment="1">
      <alignment horizontal="center" vertical="center"/>
    </xf>
    <xf numFmtId="0" fontId="10" fillId="0" borderId="10" xfId="0" applyFont="1" applyBorder="1" applyAlignment="1">
      <alignment vertical="center"/>
    </xf>
    <xf numFmtId="4" fontId="10" fillId="0" borderId="2" xfId="0" applyNumberFormat="1" applyFont="1" applyBorder="1" applyAlignment="1">
      <alignment horizontal="center" vertical="center"/>
    </xf>
    <xf numFmtId="6" fontId="12" fillId="0" borderId="2" xfId="0" applyNumberFormat="1" applyFont="1" applyBorder="1" applyAlignment="1">
      <alignment horizontal="center" vertical="center"/>
    </xf>
    <xf numFmtId="6" fontId="12" fillId="0" borderId="10" xfId="0" applyNumberFormat="1" applyFont="1" applyBorder="1" applyAlignment="1">
      <alignment horizontal="center" vertical="center"/>
    </xf>
    <xf numFmtId="9" fontId="12" fillId="0" borderId="10" xfId="0" applyNumberFormat="1" applyFont="1" applyBorder="1" applyAlignment="1">
      <alignment horizontal="center" vertical="center"/>
    </xf>
    <xf numFmtId="37" fontId="12" fillId="0" borderId="10" xfId="0" applyNumberFormat="1" applyFont="1" applyBorder="1" applyAlignment="1">
      <alignment horizontal="center" vertical="center"/>
    </xf>
    <xf numFmtId="0" fontId="3" fillId="0" borderId="17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166" fontId="12" fillId="0" borderId="18" xfId="0" applyNumberFormat="1" applyFont="1" applyBorder="1" applyAlignment="1">
      <alignment horizontal="center" vertical="center"/>
    </xf>
    <xf numFmtId="37" fontId="0" fillId="0" borderId="19" xfId="1" applyNumberFormat="1" applyFont="1" applyFill="1" applyBorder="1" applyAlignment="1">
      <alignment horizontal="center" vertical="center"/>
    </xf>
    <xf numFmtId="37" fontId="0" fillId="0" borderId="20" xfId="1" applyNumberFormat="1" applyFont="1" applyFill="1" applyBorder="1" applyAlignment="1">
      <alignment horizontal="center" vertical="center"/>
    </xf>
    <xf numFmtId="37" fontId="0" fillId="0" borderId="21" xfId="1" applyNumberFormat="1" applyFont="1" applyFill="1" applyBorder="1" applyAlignment="1">
      <alignment horizontal="center" vertical="center"/>
    </xf>
    <xf numFmtId="6" fontId="0" fillId="0" borderId="21" xfId="1" applyNumberFormat="1" applyFont="1" applyFill="1" applyBorder="1" applyAlignment="1">
      <alignment horizontal="center" vertical="center"/>
    </xf>
    <xf numFmtId="6" fontId="10" fillId="0" borderId="22" xfId="1" applyNumberFormat="1" applyFont="1" applyFill="1" applyBorder="1" applyAlignment="1">
      <alignment horizontal="center" vertical="center"/>
    </xf>
    <xf numFmtId="8" fontId="12" fillId="0" borderId="21" xfId="1" applyNumberFormat="1" applyFont="1" applyBorder="1" applyAlignment="1">
      <alignment horizontal="center" vertical="center"/>
    </xf>
    <xf numFmtId="6" fontId="0" fillId="0" borderId="23" xfId="1" applyNumberFormat="1" applyFont="1" applyFill="1" applyBorder="1" applyAlignment="1">
      <alignment horizontal="center" vertical="center"/>
    </xf>
    <xf numFmtId="6" fontId="0" fillId="0" borderId="24" xfId="1" applyNumberFormat="1" applyFont="1" applyFill="1" applyBorder="1" applyAlignment="1">
      <alignment horizontal="center" vertical="center"/>
    </xf>
    <xf numFmtId="164" fontId="0" fillId="0" borderId="10" xfId="0" applyNumberFormat="1" applyBorder="1" applyAlignment="1">
      <alignment horizontal="center" vertical="center"/>
    </xf>
    <xf numFmtId="4" fontId="10" fillId="0" borderId="10" xfId="0" applyNumberFormat="1" applyFont="1" applyBorder="1" applyAlignment="1">
      <alignment horizontal="center" vertical="center"/>
    </xf>
    <xf numFmtId="166" fontId="12" fillId="0" borderId="25" xfId="0" applyNumberFormat="1" applyFont="1" applyBorder="1" applyAlignment="1">
      <alignment horizontal="center" vertical="center"/>
    </xf>
    <xf numFmtId="37" fontId="0" fillId="0" borderId="26" xfId="1" applyNumberFormat="1" applyFont="1" applyFill="1" applyBorder="1" applyAlignment="1">
      <alignment horizontal="center" vertical="center"/>
    </xf>
    <xf numFmtId="37" fontId="0" fillId="0" borderId="27" xfId="1" applyNumberFormat="1" applyFont="1" applyFill="1" applyBorder="1" applyAlignment="1">
      <alignment horizontal="center" vertical="center"/>
    </xf>
    <xf numFmtId="37" fontId="0" fillId="0" borderId="28" xfId="1" applyNumberFormat="1" applyFont="1" applyFill="1" applyBorder="1" applyAlignment="1">
      <alignment horizontal="center" vertical="center"/>
    </xf>
    <xf numFmtId="6" fontId="0" fillId="0" borderId="28" xfId="1" applyNumberFormat="1" applyFont="1" applyFill="1" applyBorder="1" applyAlignment="1">
      <alignment horizontal="center" vertical="center"/>
    </xf>
    <xf numFmtId="8" fontId="12" fillId="0" borderId="28" xfId="1" applyNumberFormat="1" applyFont="1" applyBorder="1" applyAlignment="1">
      <alignment horizontal="center" vertical="center"/>
    </xf>
    <xf numFmtId="6" fontId="10" fillId="0" borderId="28" xfId="1" applyNumberFormat="1" applyFont="1" applyFill="1" applyBorder="1" applyAlignment="1">
      <alignment horizontal="center" vertical="center"/>
    </xf>
    <xf numFmtId="0" fontId="0" fillId="3" borderId="0" xfId="0" applyFill="1" applyAlignment="1">
      <alignment vertical="center"/>
    </xf>
    <xf numFmtId="0" fontId="3" fillId="3" borderId="6" xfId="0" applyFont="1" applyFill="1" applyBorder="1" applyAlignment="1">
      <alignment vertical="center"/>
    </xf>
    <xf numFmtId="37" fontId="0" fillId="3" borderId="26" xfId="1" applyNumberFormat="1" applyFont="1" applyFill="1" applyBorder="1" applyAlignment="1">
      <alignment horizontal="center" vertical="center"/>
    </xf>
    <xf numFmtId="37" fontId="0" fillId="3" borderId="27" xfId="1" applyNumberFormat="1" applyFont="1" applyFill="1" applyBorder="1" applyAlignment="1">
      <alignment horizontal="center" vertical="center"/>
    </xf>
    <xf numFmtId="37" fontId="0" fillId="3" borderId="28" xfId="1" applyNumberFormat="1" applyFont="1" applyFill="1" applyBorder="1" applyAlignment="1">
      <alignment horizontal="center" vertical="center"/>
    </xf>
    <xf numFmtId="6" fontId="0" fillId="3" borderId="28" xfId="1" applyNumberFormat="1" applyFont="1" applyFill="1" applyBorder="1" applyAlignment="1">
      <alignment horizontal="center" vertical="center"/>
    </xf>
    <xf numFmtId="6" fontId="0" fillId="3" borderId="23" xfId="1" applyNumberFormat="1" applyFont="1" applyFill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1" fontId="0" fillId="0" borderId="0" xfId="0" applyNumberFormat="1" applyAlignment="1">
      <alignment vertical="center"/>
    </xf>
    <xf numFmtId="6" fontId="3" fillId="0" borderId="0" xfId="0" applyNumberFormat="1" applyFont="1" applyAlignment="1">
      <alignment vertical="center"/>
    </xf>
    <xf numFmtId="166" fontId="12" fillId="0" borderId="29" xfId="0" applyNumberFormat="1" applyFont="1" applyBorder="1" applyAlignment="1">
      <alignment horizontal="center" vertical="center"/>
    </xf>
    <xf numFmtId="37" fontId="0" fillId="0" borderId="30" xfId="1" applyNumberFormat="1" applyFont="1" applyFill="1" applyBorder="1" applyAlignment="1">
      <alignment horizontal="center" vertical="center"/>
    </xf>
    <xf numFmtId="37" fontId="0" fillId="0" borderId="31" xfId="1" applyNumberFormat="1" applyFont="1" applyFill="1" applyBorder="1" applyAlignment="1">
      <alignment horizontal="center" vertical="center"/>
    </xf>
    <xf numFmtId="37" fontId="0" fillId="0" borderId="32" xfId="1" applyNumberFormat="1" applyFont="1" applyFill="1" applyBorder="1" applyAlignment="1">
      <alignment horizontal="center" vertical="center"/>
    </xf>
    <xf numFmtId="6" fontId="0" fillId="0" borderId="32" xfId="1" applyNumberFormat="1" applyFont="1" applyFill="1" applyBorder="1" applyAlignment="1">
      <alignment horizontal="center" vertical="center"/>
    </xf>
    <xf numFmtId="6" fontId="10" fillId="0" borderId="32" xfId="1" applyNumberFormat="1" applyFont="1" applyFill="1" applyBorder="1" applyAlignment="1">
      <alignment horizontal="center" vertical="center"/>
    </xf>
    <xf numFmtId="8" fontId="12" fillId="0" borderId="32" xfId="1" applyNumberFormat="1" applyFont="1" applyBorder="1" applyAlignment="1">
      <alignment horizontal="center" vertical="center"/>
    </xf>
    <xf numFmtId="6" fontId="0" fillId="0" borderId="33" xfId="1" applyNumberFormat="1" applyFont="1" applyFill="1" applyBorder="1" applyAlignment="1">
      <alignment horizontal="center" vertical="center"/>
    </xf>
    <xf numFmtId="0" fontId="3" fillId="0" borderId="34" xfId="0" applyFont="1" applyBorder="1" applyAlignment="1">
      <alignment vertical="center"/>
    </xf>
    <xf numFmtId="0" fontId="3" fillId="0" borderId="35" xfId="0" applyFont="1" applyBorder="1" applyAlignment="1">
      <alignment vertical="center"/>
    </xf>
    <xf numFmtId="1" fontId="3" fillId="0" borderId="30" xfId="1" applyNumberFormat="1" applyFont="1" applyFill="1" applyBorder="1" applyAlignment="1">
      <alignment horizontal="center" vertical="center"/>
    </xf>
    <xf numFmtId="1" fontId="3" fillId="0" borderId="32" xfId="1" applyNumberFormat="1" applyFont="1" applyFill="1" applyBorder="1" applyAlignment="1">
      <alignment horizontal="center" vertical="center"/>
    </xf>
    <xf numFmtId="6" fontId="3" fillId="0" borderId="32" xfId="1" applyNumberFormat="1" applyFont="1" applyFill="1" applyBorder="1" applyAlignment="1">
      <alignment horizontal="center" vertical="center"/>
    </xf>
    <xf numFmtId="8" fontId="3" fillId="0" borderId="32" xfId="1" applyNumberFormat="1" applyFont="1" applyFill="1" applyBorder="1" applyAlignment="1">
      <alignment horizontal="center" vertical="center"/>
    </xf>
    <xf numFmtId="6" fontId="3" fillId="0" borderId="33" xfId="1" applyNumberFormat="1" applyFont="1" applyFill="1" applyBorder="1" applyAlignment="1">
      <alignment horizontal="center" vertical="center"/>
    </xf>
    <xf numFmtId="167" fontId="3" fillId="0" borderId="36" xfId="1" applyNumberFormat="1" applyFont="1" applyFill="1" applyBorder="1" applyAlignment="1">
      <alignment horizontal="center" vertical="center"/>
    </xf>
    <xf numFmtId="167" fontId="3" fillId="0" borderId="11" xfId="1" applyNumberFormat="1" applyFont="1" applyFill="1" applyBorder="1" applyAlignment="1">
      <alignment horizontal="center" vertical="center"/>
    </xf>
    <xf numFmtId="167" fontId="3" fillId="0" borderId="37" xfId="1" applyNumberFormat="1" applyFont="1" applyFill="1" applyBorder="1" applyAlignment="1">
      <alignment horizontal="center" vertical="center"/>
    </xf>
    <xf numFmtId="8" fontId="0" fillId="0" borderId="0" xfId="0" applyNumberFormat="1" applyAlignment="1">
      <alignment horizontal="center" vertical="center"/>
    </xf>
    <xf numFmtId="6" fontId="0" fillId="0" borderId="0" xfId="0" applyNumberFormat="1" applyAlignment="1">
      <alignment horizontal="center" vertical="center"/>
    </xf>
    <xf numFmtId="9" fontId="0" fillId="0" borderId="34" xfId="0" applyNumberFormat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6" fontId="0" fillId="0" borderId="39" xfId="0" applyNumberFormat="1" applyBorder="1" applyAlignment="1">
      <alignment horizontal="center" vertical="center"/>
    </xf>
    <xf numFmtId="6" fontId="0" fillId="0" borderId="38" xfId="0" applyNumberForma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40" xfId="0" applyBorder="1" applyAlignment="1">
      <alignment vertical="center"/>
    </xf>
    <xf numFmtId="10" fontId="0" fillId="0" borderId="2" xfId="0" applyNumberFormat="1" applyBorder="1" applyAlignment="1">
      <alignment horizontal="center" vertical="center"/>
    </xf>
    <xf numFmtId="0" fontId="3" fillId="0" borderId="40" xfId="0" applyFont="1" applyBorder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3" fillId="0" borderId="40" xfId="0" applyFont="1" applyBorder="1" applyAlignment="1">
      <alignment horizontal="center" vertical="center"/>
    </xf>
    <xf numFmtId="10" fontId="0" fillId="0" borderId="2" xfId="1" applyNumberFormat="1" applyFont="1" applyFill="1" applyBorder="1" applyAlignment="1">
      <alignment horizontal="center" vertical="center"/>
    </xf>
    <xf numFmtId="10" fontId="0" fillId="0" borderId="10" xfId="1" applyNumberFormat="1" applyFont="1" applyFill="1" applyBorder="1" applyAlignment="1">
      <alignment horizontal="center" vertical="center"/>
    </xf>
    <xf numFmtId="10" fontId="0" fillId="0" borderId="0" xfId="0" applyNumberFormat="1" applyAlignment="1">
      <alignment vertical="center"/>
    </xf>
    <xf numFmtId="168" fontId="0" fillId="0" borderId="10" xfId="0" applyNumberFormat="1" applyBorder="1" applyAlignment="1">
      <alignment horizontal="center" vertical="center" wrapText="1"/>
    </xf>
    <xf numFmtId="1" fontId="0" fillId="0" borderId="10" xfId="0" applyNumberFormat="1" applyBorder="1" applyAlignment="1">
      <alignment horizontal="center" vertical="center" wrapText="1"/>
    </xf>
    <xf numFmtId="169" fontId="0" fillId="0" borderId="10" xfId="0" applyNumberFormat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6" fontId="0" fillId="0" borderId="10" xfId="0" applyNumberFormat="1" applyBorder="1" applyAlignment="1">
      <alignment horizontal="center" vertical="center"/>
    </xf>
    <xf numFmtId="6" fontId="3" fillId="0" borderId="10" xfId="0" applyNumberFormat="1" applyFont="1" applyBorder="1" applyAlignment="1">
      <alignment horizontal="center" vertical="center"/>
    </xf>
    <xf numFmtId="1" fontId="3" fillId="0" borderId="10" xfId="0" applyNumberFormat="1" applyFont="1" applyBorder="1" applyAlignment="1">
      <alignment horizontal="center" vertical="center" wrapText="1"/>
    </xf>
    <xf numFmtId="169" fontId="3" fillId="0" borderId="10" xfId="0" applyNumberFormat="1" applyFont="1" applyBorder="1" applyAlignment="1">
      <alignment horizontal="center" vertical="center" wrapText="1"/>
    </xf>
    <xf numFmtId="9" fontId="0" fillId="0" borderId="0" xfId="2" applyFont="1" applyAlignment="1">
      <alignment horizontal="center" vertical="center"/>
    </xf>
    <xf numFmtId="14" fontId="2" fillId="2" borderId="37" xfId="0" applyNumberFormat="1" applyFont="1" applyFill="1" applyBorder="1" applyAlignment="1">
      <alignment horizontal="center" vertical="center" wrapText="1"/>
    </xf>
    <xf numFmtId="0" fontId="2" fillId="2" borderId="37" xfId="0" applyFont="1" applyFill="1" applyBorder="1" applyAlignment="1">
      <alignment horizontal="center" vertical="center" wrapText="1"/>
    </xf>
    <xf numFmtId="170" fontId="2" fillId="2" borderId="37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40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0" fillId="0" borderId="43" xfId="0" applyBorder="1" applyAlignment="1">
      <alignment vertical="center"/>
    </xf>
    <xf numFmtId="0" fontId="0" fillId="0" borderId="43" xfId="0" applyBorder="1" applyAlignment="1">
      <alignment horizontal="center" vertical="center"/>
    </xf>
    <xf numFmtId="171" fontId="0" fillId="0" borderId="43" xfId="0" applyNumberFormat="1" applyBorder="1" applyAlignment="1">
      <alignment horizontal="center" vertical="center"/>
    </xf>
    <xf numFmtId="172" fontId="0" fillId="0" borderId="10" xfId="0" applyNumberFormat="1" applyBorder="1" applyAlignment="1">
      <alignment horizontal="center" vertical="center"/>
    </xf>
    <xf numFmtId="15" fontId="0" fillId="0" borderId="10" xfId="0" applyNumberFormat="1" applyBorder="1" applyAlignment="1">
      <alignment horizontal="center" vertical="center"/>
    </xf>
    <xf numFmtId="173" fontId="0" fillId="0" borderId="10" xfId="0" applyNumberFormat="1" applyBorder="1" applyAlignment="1">
      <alignment horizontal="center" vertical="center"/>
    </xf>
    <xf numFmtId="8" fontId="0" fillId="0" borderId="10" xfId="0" applyNumberFormat="1" applyBorder="1" applyAlignment="1">
      <alignment horizontal="center" vertical="center"/>
    </xf>
    <xf numFmtId="174" fontId="0" fillId="0" borderId="10" xfId="0" applyNumberFormat="1" applyBorder="1" applyAlignment="1">
      <alignment horizontal="center" vertical="center"/>
    </xf>
    <xf numFmtId="171" fontId="0" fillId="0" borderId="10" xfId="0" applyNumberFormat="1" applyBorder="1" applyAlignment="1">
      <alignment horizontal="center" vertical="center"/>
    </xf>
    <xf numFmtId="0" fontId="0" fillId="0" borderId="11" xfId="0" applyBorder="1" applyAlignment="1">
      <alignment vertical="center"/>
    </xf>
    <xf numFmtId="0" fontId="0" fillId="0" borderId="11" xfId="0" applyBorder="1" applyAlignment="1">
      <alignment horizontal="center" vertical="center"/>
    </xf>
    <xf numFmtId="171" fontId="0" fillId="0" borderId="11" xfId="0" applyNumberFormat="1" applyBorder="1" applyAlignment="1">
      <alignment horizontal="center" vertical="center"/>
    </xf>
    <xf numFmtId="172" fontId="0" fillId="0" borderId="11" xfId="0" applyNumberFormat="1" applyBorder="1" applyAlignment="1">
      <alignment horizontal="center" vertical="center"/>
    </xf>
    <xf numFmtId="15" fontId="0" fillId="0" borderId="11" xfId="0" applyNumberFormat="1" applyBorder="1" applyAlignment="1">
      <alignment horizontal="center" vertical="center"/>
    </xf>
    <xf numFmtId="173" fontId="0" fillId="0" borderId="11" xfId="0" applyNumberFormat="1" applyBorder="1" applyAlignment="1">
      <alignment horizontal="center" vertical="center"/>
    </xf>
    <xf numFmtId="6" fontId="0" fillId="0" borderId="11" xfId="0" applyNumberFormat="1" applyBorder="1" applyAlignment="1">
      <alignment horizontal="center" vertical="center"/>
    </xf>
    <xf numFmtId="8" fontId="0" fillId="0" borderId="11" xfId="0" applyNumberFormat="1" applyBorder="1" applyAlignment="1">
      <alignment horizontal="center" vertical="center"/>
    </xf>
    <xf numFmtId="174" fontId="0" fillId="0" borderId="11" xfId="0" applyNumberFormat="1" applyBorder="1" applyAlignment="1">
      <alignment horizontal="center" vertical="center"/>
    </xf>
    <xf numFmtId="0" fontId="3" fillId="0" borderId="10" xfId="0" applyFont="1" applyBorder="1" applyAlignment="1">
      <alignment horizontal="left" vertical="center"/>
    </xf>
    <xf numFmtId="172" fontId="3" fillId="0" borderId="10" xfId="0" applyNumberFormat="1" applyFont="1" applyBorder="1" applyAlignment="1">
      <alignment horizontal="center" vertical="center"/>
    </xf>
    <xf numFmtId="175" fontId="3" fillId="0" borderId="10" xfId="0" applyNumberFormat="1" applyFont="1" applyBorder="1" applyAlignment="1">
      <alignment horizontal="center"/>
    </xf>
    <xf numFmtId="37" fontId="3" fillId="0" borderId="10" xfId="0" applyNumberFormat="1" applyFont="1" applyBorder="1" applyAlignment="1">
      <alignment horizontal="center"/>
    </xf>
    <xf numFmtId="39" fontId="3" fillId="0" borderId="10" xfId="0" applyNumberFormat="1" applyFont="1" applyBorder="1" applyAlignment="1">
      <alignment horizontal="center"/>
    </xf>
    <xf numFmtId="174" fontId="3" fillId="0" borderId="10" xfId="2" applyNumberFormat="1" applyFont="1" applyFill="1" applyBorder="1" applyAlignment="1">
      <alignment horizontal="center"/>
    </xf>
    <xf numFmtId="8" fontId="3" fillId="0" borderId="10" xfId="0" applyNumberFormat="1" applyFont="1" applyBorder="1" applyAlignment="1">
      <alignment horizontal="center"/>
    </xf>
    <xf numFmtId="174" fontId="3" fillId="0" borderId="10" xfId="0" applyNumberFormat="1" applyFont="1" applyBorder="1" applyAlignment="1">
      <alignment horizontal="center" vertical="center"/>
    </xf>
    <xf numFmtId="37" fontId="3" fillId="0" borderId="10" xfId="0" applyNumberFormat="1" applyFont="1" applyBorder="1" applyAlignment="1">
      <alignment horizontal="center" vertical="center"/>
    </xf>
    <xf numFmtId="39" fontId="3" fillId="0" borderId="10" xfId="0" applyNumberFormat="1" applyFont="1" applyBorder="1" applyAlignment="1">
      <alignment horizontal="center" vertical="center"/>
    </xf>
    <xf numFmtId="174" fontId="3" fillId="0" borderId="10" xfId="2" applyNumberFormat="1" applyFont="1" applyFill="1" applyBorder="1" applyAlignment="1">
      <alignment horizontal="center" vertical="center"/>
    </xf>
    <xf numFmtId="0" fontId="3" fillId="0" borderId="10" xfId="0" applyFont="1" applyBorder="1" applyAlignment="1">
      <alignment vertical="center"/>
    </xf>
    <xf numFmtId="1" fontId="3" fillId="0" borderId="10" xfId="0" applyNumberFormat="1" applyFont="1" applyBorder="1" applyAlignment="1">
      <alignment horizontal="center" vertical="center"/>
    </xf>
    <xf numFmtId="171" fontId="3" fillId="0" borderId="10" xfId="0" applyNumberFormat="1" applyFont="1" applyBorder="1" applyAlignment="1">
      <alignment horizontal="center" vertical="center"/>
    </xf>
    <xf numFmtId="3" fontId="10" fillId="0" borderId="10" xfId="0" applyNumberFormat="1" applyFont="1" applyBorder="1" applyAlignment="1">
      <alignment horizontal="center" vertical="center"/>
    </xf>
    <xf numFmtId="6" fontId="10" fillId="0" borderId="2" xfId="0" applyNumberFormat="1" applyFont="1" applyBorder="1" applyAlignment="1">
      <alignment horizontal="center" vertical="center"/>
    </xf>
    <xf numFmtId="6" fontId="10" fillId="0" borderId="10" xfId="0" applyNumberFormat="1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37" fontId="0" fillId="0" borderId="0" xfId="0" applyNumberFormat="1" applyAlignment="1">
      <alignment vertical="center"/>
    </xf>
    <xf numFmtId="0" fontId="3" fillId="0" borderId="41" xfId="0" applyFont="1" applyBorder="1" applyAlignment="1">
      <alignment horizontal="center" vertical="center" wrapText="1"/>
    </xf>
    <xf numFmtId="0" fontId="3" fillId="0" borderId="42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43" xfId="0" applyFont="1" applyBorder="1" applyAlignment="1">
      <alignment horizontal="center" vertical="center" wrapText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 of lease</a:t>
            </a:r>
            <a:r>
              <a:rPr lang="en-US" baseline="0"/>
              <a:t> expiry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'Rent Roll'!$AV$8</c:f>
              <c:strCache>
                <c:ptCount val="1"/>
                <c:pt idx="0">
                  <c:v>No of leases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6206-45D0-8D6D-057BDABD48E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'Rent Roll'!$AU$9:$AU$20</c:f>
              <c:numCache>
                <c:formatCode>[$-409]mmm\-yy;@</c:formatCode>
                <c:ptCount val="12"/>
                <c:pt idx="0">
                  <c:v>31</c:v>
                </c:pt>
                <c:pt idx="1">
                  <c:v>59</c:v>
                </c:pt>
                <c:pt idx="2">
                  <c:v>91</c:v>
                </c:pt>
                <c:pt idx="3">
                  <c:v>121</c:v>
                </c:pt>
                <c:pt idx="4">
                  <c:v>152</c:v>
                </c:pt>
                <c:pt idx="5">
                  <c:v>182</c:v>
                </c:pt>
                <c:pt idx="6">
                  <c:v>213</c:v>
                </c:pt>
                <c:pt idx="7">
                  <c:v>244</c:v>
                </c:pt>
                <c:pt idx="8">
                  <c:v>274</c:v>
                </c:pt>
                <c:pt idx="9">
                  <c:v>305</c:v>
                </c:pt>
                <c:pt idx="10">
                  <c:v>335</c:v>
                </c:pt>
                <c:pt idx="11">
                  <c:v>366</c:v>
                </c:pt>
              </c:numCache>
            </c:numRef>
          </c:cat>
          <c:val>
            <c:numRef>
              <c:f>'Rent Roll'!$AV$9:$AV$20</c:f>
              <c:numCache>
                <c:formatCode>General</c:formatCode>
                <c:ptCount val="12"/>
                <c:pt idx="0">
                  <c:v>612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06-45D0-8D6D-057BDABD48E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75837248"/>
        <c:axId val="1375830176"/>
      </c:barChart>
      <c:dateAx>
        <c:axId val="1375837248"/>
        <c:scaling>
          <c:orientation val="minMax"/>
        </c:scaling>
        <c:delete val="0"/>
        <c:axPos val="b"/>
        <c:numFmt formatCode="[$-409]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375830176"/>
        <c:crosses val="autoZero"/>
        <c:auto val="1"/>
        <c:lblOffset val="100"/>
        <c:baseTimeUnit val="months"/>
      </c:dateAx>
      <c:valAx>
        <c:axId val="1375830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375837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1106805</xdr:colOff>
      <xdr:row>49</xdr:row>
      <xdr:rowOff>21907</xdr:rowOff>
    </xdr:from>
    <xdr:to>
      <xdr:col>30</xdr:col>
      <xdr:colOff>382905</xdr:colOff>
      <xdr:row>63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EDC6D2E-B308-4D1D-A35F-DD1B0FC1E9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B9D48-447E-44C8-8FEE-25DCD7AC9CDE}">
  <sheetPr codeName="Sheet1">
    <tabColor theme="4" tint="0.79998168889431442"/>
    <pageSetUpPr fitToPage="1"/>
  </sheetPr>
  <dimension ref="B1:AW870"/>
  <sheetViews>
    <sheetView showGridLines="0" tabSelected="1" zoomScale="80" zoomScaleNormal="80" workbookViewId="0"/>
  </sheetViews>
  <sheetFormatPr defaultColWidth="9.453125" defaultRowHeight="14.5" x14ac:dyDescent="0.35"/>
  <cols>
    <col min="1" max="1" width="9.453125" style="8"/>
    <col min="2" max="2" width="19.6328125" style="8" bestFit="1" customWidth="1"/>
    <col min="3" max="3" width="13.81640625" style="9" bestFit="1" customWidth="1"/>
    <col min="4" max="4" width="15.453125" style="9" bestFit="1" customWidth="1"/>
    <col min="5" max="5" width="17.36328125" style="9" bestFit="1" customWidth="1"/>
    <col min="6" max="6" width="20.36328125" style="8" bestFit="1" customWidth="1"/>
    <col min="7" max="7" width="14.81640625" style="9" bestFit="1" customWidth="1"/>
    <col min="8" max="8" width="10.6328125" style="9" bestFit="1" customWidth="1"/>
    <col min="9" max="9" width="17.6328125" style="10" bestFit="1" customWidth="1"/>
    <col min="10" max="10" width="19" style="11" customWidth="1"/>
    <col min="11" max="11" width="20" style="10" bestFit="1" customWidth="1"/>
    <col min="12" max="12" width="23.36328125" style="12" customWidth="1"/>
    <col min="13" max="13" width="22.36328125" style="12" customWidth="1"/>
    <col min="14" max="14" width="28.81640625" style="17" customWidth="1"/>
    <col min="15" max="15" width="23.81640625" style="14" bestFit="1" customWidth="1"/>
    <col min="16" max="16" width="25.6328125" style="14" bestFit="1" customWidth="1"/>
    <col min="17" max="17" width="20" style="14" bestFit="1" customWidth="1"/>
    <col min="18" max="18" width="26.1796875" style="9" bestFit="1" customWidth="1"/>
    <col min="19" max="19" width="16.1796875" style="9" bestFit="1" customWidth="1"/>
    <col min="20" max="20" width="10.1796875" style="174" bestFit="1" customWidth="1"/>
    <col min="21" max="21" width="16.453125" style="8" customWidth="1"/>
    <col min="22" max="22" width="18" style="8" bestFit="1" customWidth="1"/>
    <col min="23" max="23" width="14.453125" style="8" bestFit="1" customWidth="1"/>
    <col min="24" max="24" width="15.81640625" style="8" bestFit="1" customWidth="1"/>
    <col min="25" max="25" width="18.1796875" style="8" bestFit="1" customWidth="1"/>
    <col min="26" max="26" width="19" style="8" bestFit="1" customWidth="1"/>
    <col min="27" max="27" width="26.6328125" style="8" bestFit="1" customWidth="1"/>
    <col min="28" max="28" width="23.453125" style="8" customWidth="1"/>
    <col min="29" max="29" width="12" style="8" bestFit="1" customWidth="1"/>
    <col min="30" max="30" width="19.36328125" style="8" bestFit="1" customWidth="1"/>
    <col min="31" max="31" width="20.453125" style="8" bestFit="1" customWidth="1"/>
    <col min="32" max="32" width="22.453125" style="8" bestFit="1" customWidth="1"/>
    <col min="33" max="33" width="18.1796875" style="8" bestFit="1" customWidth="1"/>
    <col min="34" max="34" width="19.36328125" style="8" bestFit="1" customWidth="1"/>
    <col min="35" max="35" width="12.453125" style="8" bestFit="1" customWidth="1"/>
    <col min="36" max="36" width="20.453125" style="8" bestFit="1" customWidth="1"/>
    <col min="37" max="37" width="18.1796875" style="8" bestFit="1" customWidth="1"/>
    <col min="38" max="38" width="19.36328125" style="8" bestFit="1" customWidth="1"/>
    <col min="39" max="39" width="11.81640625" style="8" bestFit="1" customWidth="1"/>
    <col min="40" max="40" width="10.81640625" style="8" bestFit="1" customWidth="1"/>
    <col min="41" max="41" width="18.1796875" style="8" bestFit="1" customWidth="1"/>
    <col min="42" max="42" width="13.453125" style="8" bestFit="1" customWidth="1"/>
    <col min="43" max="46" width="9.453125" style="8"/>
    <col min="47" max="47" width="28" style="8" bestFit="1" customWidth="1"/>
    <col min="48" max="48" width="11.81640625" style="8" bestFit="1" customWidth="1"/>
    <col min="49" max="16384" width="9.453125" style="8"/>
  </cols>
  <sheetData>
    <row r="1" spans="2:48" s="1" customFormat="1" ht="5.25" customHeight="1" x14ac:dyDescent="0.35">
      <c r="B1" s="1" t="s">
        <v>0</v>
      </c>
      <c r="I1" s="2"/>
      <c r="J1" s="2"/>
      <c r="K1" s="2"/>
    </row>
    <row r="2" spans="2:48" s="1" customFormat="1" ht="28.5" x14ac:dyDescent="0.65">
      <c r="B2" s="3"/>
      <c r="C2" s="4"/>
      <c r="E2" s="4"/>
      <c r="F2" s="4"/>
      <c r="G2" s="4"/>
      <c r="H2" s="4"/>
      <c r="I2" s="5"/>
      <c r="J2" s="5"/>
      <c r="K2" s="5"/>
      <c r="L2" s="4"/>
      <c r="M2" s="4"/>
      <c r="N2" s="4"/>
      <c r="O2" s="4"/>
      <c r="P2" s="4"/>
      <c r="Q2" s="4"/>
      <c r="R2" s="4"/>
      <c r="S2" s="4"/>
      <c r="T2" s="4"/>
      <c r="U2" s="4"/>
    </row>
    <row r="3" spans="2:48" s="1" customFormat="1" ht="26" x14ac:dyDescent="0.6">
      <c r="B3" s="6" t="s">
        <v>1</v>
      </c>
      <c r="C3" s="7"/>
      <c r="E3" s="4"/>
      <c r="I3" s="2"/>
      <c r="J3" s="2"/>
      <c r="K3" s="2"/>
    </row>
    <row r="4" spans="2:48" x14ac:dyDescent="0.35">
      <c r="N4" s="13" t="s">
        <v>2</v>
      </c>
      <c r="T4" s="8"/>
    </row>
    <row r="5" spans="2:48" ht="15" thickBot="1" x14ac:dyDescent="0.4">
      <c r="F5" s="15" t="s">
        <v>3</v>
      </c>
      <c r="G5" s="16"/>
      <c r="T5" s="8"/>
    </row>
    <row r="6" spans="2:48" x14ac:dyDescent="0.35">
      <c r="T6" s="8"/>
      <c r="V6" s="18"/>
      <c r="W6" s="18"/>
      <c r="X6" s="18"/>
      <c r="Y6" s="19"/>
      <c r="Z6" s="19"/>
      <c r="AA6" s="19"/>
      <c r="AB6" s="19"/>
      <c r="AC6" s="19"/>
      <c r="AD6" s="19"/>
      <c r="AE6" s="20" t="s">
        <v>4</v>
      </c>
      <c r="AF6" s="21"/>
      <c r="AG6" s="21"/>
      <c r="AH6" s="22"/>
      <c r="AI6" s="20" t="s">
        <v>5</v>
      </c>
      <c r="AJ6" s="21"/>
      <c r="AK6" s="21"/>
      <c r="AL6" s="22"/>
      <c r="AM6" s="20" t="s">
        <v>6</v>
      </c>
      <c r="AN6" s="21"/>
      <c r="AO6" s="21"/>
      <c r="AP6" s="22"/>
    </row>
    <row r="7" spans="2:48" ht="15" thickBot="1" x14ac:dyDescent="0.4">
      <c r="J7" s="23" t="s">
        <v>7</v>
      </c>
      <c r="T7" s="8"/>
      <c r="V7" s="24"/>
      <c r="W7" s="24"/>
      <c r="X7" s="25"/>
      <c r="Y7" s="26"/>
      <c r="Z7" s="27"/>
      <c r="AA7" s="27"/>
      <c r="AB7" s="27"/>
      <c r="AC7" s="27"/>
      <c r="AD7" s="27"/>
      <c r="AE7" s="28">
        <f>G5-90</f>
        <v>-90</v>
      </c>
      <c r="AF7" s="29"/>
      <c r="AG7" s="29"/>
      <c r="AH7" s="30"/>
      <c r="AI7" s="28">
        <f>G5-60</f>
        <v>-60</v>
      </c>
      <c r="AJ7" s="29"/>
      <c r="AK7" s="29"/>
      <c r="AL7" s="30"/>
      <c r="AM7" s="28">
        <f>G5-30</f>
        <v>-30</v>
      </c>
      <c r="AN7" s="29"/>
      <c r="AO7" s="29"/>
      <c r="AP7" s="30"/>
    </row>
    <row r="8" spans="2:48" s="43" customFormat="1" ht="29.5" thickBot="1" x14ac:dyDescent="0.4">
      <c r="B8" s="31" t="s">
        <v>8</v>
      </c>
      <c r="C8" s="31" t="s">
        <v>9</v>
      </c>
      <c r="D8" s="32" t="s">
        <v>10</v>
      </c>
      <c r="E8" s="32" t="s">
        <v>11</v>
      </c>
      <c r="F8" s="32" t="s">
        <v>12</v>
      </c>
      <c r="G8" s="32" t="s">
        <v>13</v>
      </c>
      <c r="H8" s="32" t="s">
        <v>14</v>
      </c>
      <c r="I8" s="31" t="s">
        <v>15</v>
      </c>
      <c r="J8" s="33" t="s">
        <v>16</v>
      </c>
      <c r="K8" s="31" t="s">
        <v>17</v>
      </c>
      <c r="L8" s="34" t="s">
        <v>18</v>
      </c>
      <c r="M8" s="34" t="s">
        <v>19</v>
      </c>
      <c r="N8" s="35" t="s">
        <v>20</v>
      </c>
      <c r="O8" s="35" t="s">
        <v>21</v>
      </c>
      <c r="P8" s="35" t="s">
        <v>22</v>
      </c>
      <c r="Q8" s="35" t="s">
        <v>23</v>
      </c>
      <c r="R8" s="31" t="s">
        <v>24</v>
      </c>
      <c r="S8" s="31" t="s">
        <v>25</v>
      </c>
      <c r="T8" s="31" t="s">
        <v>26</v>
      </c>
      <c r="U8" s="36"/>
      <c r="V8" s="37" t="s">
        <v>13</v>
      </c>
      <c r="W8" s="38" t="s">
        <v>27</v>
      </c>
      <c r="X8" s="39" t="s">
        <v>28</v>
      </c>
      <c r="Y8" s="40" t="s">
        <v>29</v>
      </c>
      <c r="Z8" s="40" t="s">
        <v>30</v>
      </c>
      <c r="AA8" s="40" t="s">
        <v>21</v>
      </c>
      <c r="AB8" s="40" t="s">
        <v>31</v>
      </c>
      <c r="AC8" s="40" t="s">
        <v>32</v>
      </c>
      <c r="AD8" s="41" t="s">
        <v>33</v>
      </c>
      <c r="AE8" s="42" t="s">
        <v>28</v>
      </c>
      <c r="AF8" s="40" t="s">
        <v>30</v>
      </c>
      <c r="AG8" s="40" t="s">
        <v>34</v>
      </c>
      <c r="AH8" s="40" t="s">
        <v>33</v>
      </c>
      <c r="AI8" s="40" t="s">
        <v>28</v>
      </c>
      <c r="AJ8" s="40" t="s">
        <v>30</v>
      </c>
      <c r="AK8" s="40" t="s">
        <v>34</v>
      </c>
      <c r="AL8" s="40" t="s">
        <v>33</v>
      </c>
      <c r="AM8" s="40" t="s">
        <v>28</v>
      </c>
      <c r="AN8" s="40" t="s">
        <v>30</v>
      </c>
      <c r="AO8" s="40" t="s">
        <v>34</v>
      </c>
      <c r="AP8" s="41" t="s">
        <v>33</v>
      </c>
      <c r="AU8" s="44" t="s">
        <v>35</v>
      </c>
      <c r="AV8" s="44" t="s">
        <v>36</v>
      </c>
    </row>
    <row r="9" spans="2:48" x14ac:dyDescent="0.35">
      <c r="B9" s="45" t="str">
        <f>IF(J9="","",RANK($J9,$J$9:$J$620,0)+COUNTIF($J$9:J9,$J9)-1)</f>
        <v/>
      </c>
      <c r="C9" s="46"/>
      <c r="D9" s="46"/>
      <c r="E9" s="46"/>
      <c r="F9" s="47" t="str">
        <f>G9&amp;"-"&amp;E9&amp;"-"&amp;D9</f>
        <v>--</v>
      </c>
      <c r="G9" s="48"/>
      <c r="H9" s="46"/>
      <c r="I9" s="49"/>
      <c r="J9" s="50"/>
      <c r="K9" s="51"/>
      <c r="L9" s="52">
        <f>EOMONTH(J9,0)</f>
        <v>31</v>
      </c>
      <c r="M9" s="52">
        <f>EOMONTH(K9,0)</f>
        <v>31</v>
      </c>
      <c r="N9" s="53"/>
      <c r="O9" s="54"/>
      <c r="P9" s="55">
        <f t="shared" ref="P9:P72" si="0">VLOOKUP(F9,$V$8:$AP$43,COLUMNS($V$9:$AB$9),0)</f>
        <v>0</v>
      </c>
      <c r="Q9" s="46"/>
      <c r="R9" s="56" t="str">
        <f>IF(I9="","",IF(($G$5-I9)/365&gt;1.5,"Renewed Lease","New Lease"))</f>
        <v/>
      </c>
      <c r="S9" s="57" t="str">
        <f>IF(Q9="","",IFERROR(1-Q9/P9,""))</f>
        <v/>
      </c>
      <c r="T9" s="58"/>
      <c r="U9" s="14"/>
      <c r="V9" s="59" t="str" cm="1">
        <f t="array" ref="V9:V10">_xlfn._xlws.SORT(_xlfn.UNIQUE($F$9:$F$5423,,),,1)</f>
        <v>--</v>
      </c>
      <c r="W9" s="61">
        <f>IFERROR(VLOOKUP(V9,$F:$G,COLUMNS($F$8:$G$8),0),"")</f>
        <v>0</v>
      </c>
      <c r="X9" s="62">
        <f t="shared" ref="X9:X42" si="1">COUNTIFS($F:$F,$V9)</f>
        <v>284</v>
      </c>
      <c r="Y9" s="63">
        <f t="shared" ref="Y9:Y42" si="2">COUNTIFS($F:$F,$V9,$Q:$Q,"")</f>
        <v>284</v>
      </c>
      <c r="Z9" s="64">
        <f t="shared" ref="Z9:Z42" si="3">IFERROR(SUMIFS($H:$H,$F:$F,"="&amp;$V9)/$X9,0)</f>
        <v>0</v>
      </c>
      <c r="AA9" s="65">
        <f t="shared" ref="AA9:AA42" si="4">IFERROR(AVERAGEIFS($O:$O,$F:$F,"="&amp;$V9),0)</f>
        <v>0</v>
      </c>
      <c r="AB9" s="66">
        <v>0</v>
      </c>
      <c r="AC9" s="67">
        <f t="shared" ref="AC9:AC42" si="5">IFERROR(AB9/Z9,0)</f>
        <v>0</v>
      </c>
      <c r="AD9" s="68">
        <f t="shared" ref="AD9:AD42" si="6">IFERROR(AVERAGEIFS($Q:$Q,$F:$F,"="&amp;$V9),0)</f>
        <v>0</v>
      </c>
      <c r="AE9" s="63">
        <f t="shared" ref="AE9:AE42" si="7">COUNTIFS($J:$J,"&gt;="&amp;$AE$7,$F:$F,$V9)</f>
        <v>0</v>
      </c>
      <c r="AF9" s="64">
        <f t="shared" ref="AF9:AF42" si="8">IF(IFERROR(SUMIFS($H:$H,$J:$J,"&gt;="&amp;$AE$7,$F:$F,"="&amp;$V9)/$AE9,0)=0,$Z9,IFERROR(SUMIFS($H:$H,$J:$J,"&gt;="&amp;$AE$7,$F:$F,"="&amp;$V9)/$AE9,0))</f>
        <v>0</v>
      </c>
      <c r="AG9" s="65">
        <f t="shared" ref="AG9:AG42" si="9">IF(IFERROR(AVERAGEIFS($O:$O,$J:$J,"&gt;="&amp;$AE$7,$F:$F,"="&amp;$V9),0)=0,$AA9,IFERROR(AVERAGEIFS($O:$O,$J:$J,"&gt;="&amp;$AE$7,$F:$F,"="&amp;$V9),0))</f>
        <v>0</v>
      </c>
      <c r="AH9" s="69">
        <f t="shared" ref="AH9:AH42" si="10">IF(IFERROR(AVERAGEIFS($Q:$Q,$J:$J,"&gt;="&amp;$AE$7,$F:$F,"="&amp;$V9),0)=0,$AD9,IFERROR(AVERAGEIFS($Q:$Q,$J:$J,"&gt;="&amp;$AE$7,$F:$F,"="&amp;$V9),0))</f>
        <v>0</v>
      </c>
      <c r="AI9" s="62">
        <f t="shared" ref="AI9:AI42" si="11">COUNTIFS($J:$J,"&gt;="&amp;$AI$7,$F:$F,$V9)</f>
        <v>0</v>
      </c>
      <c r="AJ9" s="64">
        <f t="shared" ref="AJ9:AJ42" si="12">IF(IFERROR(SUMIFS($H:$H,$J:$J,"&gt;="&amp;$AI$7,$F:$F,"="&amp;$V9)/$AI9,0)=0,Z9,IFERROR(SUMIFS($H:$H,$J:$J,"&gt;="&amp;$AI$7,$F:$F,"="&amp;$V9)/$AI9,0))</f>
        <v>0</v>
      </c>
      <c r="AK9" s="65">
        <f t="shared" ref="AK9:AK42" si="13">IF(IFERROR(AVERAGEIFS($O:$O,$J:$J,"&gt;="&amp;$AI$7,$F:$F,"="&amp;$V9),0)=0,AA9,IFERROR(AVERAGEIFS($O:$O,$J:$J,"&gt;="&amp;$AI$7,$F:$F,"="&amp;$V9),0))</f>
        <v>0</v>
      </c>
      <c r="AL9" s="69">
        <f t="shared" ref="AL9:AL42" si="14">IF(IFERROR(AVERAGEIFS($Q:$Q,$J:$J,"&gt;="&amp;$AI$7,$F:$F,"="&amp;$V9),0)=0,AD9,IFERROR(AVERAGEIFS($Q:$Q,$J:$J,"&gt;="&amp;$AI$7,$F:$F,"="&amp;$V9),0))</f>
        <v>0</v>
      </c>
      <c r="AM9" s="62">
        <f t="shared" ref="AM9:AM42" si="15">COUNTIFS($J:$J,"&gt;="&amp;$AM$7,$F:$F,$V9)</f>
        <v>0</v>
      </c>
      <c r="AN9" s="64">
        <f t="shared" ref="AN9:AN42" si="16">IF(IFERROR(SUMIFS($H:$H,$J:$J,"&gt;="&amp;$AM$7,$F:$F,"="&amp;$V9)/$AM9,0)=0,Z9,IFERROR(SUMIFS($H:$H,$J:$J,"&gt;="&amp;$AM$7,$F:$F,"="&amp;$V9)/$AM9,0))</f>
        <v>0</v>
      </c>
      <c r="AO9" s="65">
        <f t="shared" ref="AO9:AO42" si="17">IF(IFERROR(AVERAGEIFS($O:$O,$J:$J,"&gt;="&amp;$AM$7,$F:$F,"="&amp;$V9),0)=0,AA9,IFERROR(AVERAGEIFS($O:$O,$J:$J,"&gt;="&amp;$AM$7,$F:$F,"="&amp;$V9),0))</f>
        <v>0</v>
      </c>
      <c r="AP9" s="69">
        <f t="shared" ref="AP9:AP42" si="18">IF(IFERROR(AVERAGEIFS($Q:$Q,$J:$J,"&gt;="&amp;$AM$7,$F:$F,"="&amp;$V9),0)=0,AD9,IFERROR(AVERAGEIFS($Q:$Q,$J:$J,"&gt;="&amp;$AM$7,$F:$F,"="&amp;$V9),0))</f>
        <v>0</v>
      </c>
      <c r="AU9" s="70">
        <f>EOMONTH(G5,0)</f>
        <v>31</v>
      </c>
      <c r="AV9" s="45">
        <f t="shared" ref="AV9:AV20" si="19">COUNTIFS($M:$M,AU9)</f>
        <v>612</v>
      </c>
    </row>
    <row r="10" spans="2:48" x14ac:dyDescent="0.35">
      <c r="B10" s="45" t="str">
        <f>IF(J10="","",RANK($J10,$J$9:$J$620,0)+COUNTIF($J$9:J10,$J10)-1)</f>
        <v/>
      </c>
      <c r="C10" s="46"/>
      <c r="D10" s="46"/>
      <c r="E10" s="46"/>
      <c r="F10" s="47" t="str">
        <f t="shared" ref="F10:F73" si="20">G10&amp;"-"&amp;E10&amp;"-"&amp;D10</f>
        <v>--</v>
      </c>
      <c r="G10" s="48"/>
      <c r="H10" s="46"/>
      <c r="I10" s="49"/>
      <c r="J10" s="50"/>
      <c r="K10" s="51"/>
      <c r="L10" s="52">
        <f t="shared" ref="L10:M73" si="21">EOMONTH(J10,0)</f>
        <v>31</v>
      </c>
      <c r="M10" s="52">
        <f t="shared" si="21"/>
        <v>31</v>
      </c>
      <c r="N10" s="53"/>
      <c r="O10" s="54"/>
      <c r="P10" s="55">
        <f t="shared" si="0"/>
        <v>0</v>
      </c>
      <c r="Q10" s="71"/>
      <c r="R10" s="56" t="str">
        <f t="shared" ref="R10:R73" si="22">IF(I10="","",IF(($G$5-I10)/365&gt;1.5,"Renewed Lease","New Lease"))</f>
        <v/>
      </c>
      <c r="S10" s="57" t="str">
        <f t="shared" ref="S10:S73" si="23">IF(Q10="","",IFERROR(1-Q10/P10,""))</f>
        <v/>
      </c>
      <c r="T10" s="58"/>
      <c r="V10" s="60">
        <v>0</v>
      </c>
      <c r="W10" s="72" t="str">
        <f t="shared" ref="W10:W42" si="24">IFERROR(VLOOKUP(V10,$F:$G,COLUMNS($F$8:$G$8),0),"")</f>
        <v/>
      </c>
      <c r="X10" s="73">
        <f t="shared" si="1"/>
        <v>0</v>
      </c>
      <c r="Y10" s="74">
        <f t="shared" si="2"/>
        <v>0</v>
      </c>
      <c r="Z10" s="75">
        <f t="shared" si="3"/>
        <v>0</v>
      </c>
      <c r="AA10" s="76">
        <f t="shared" si="4"/>
        <v>0</v>
      </c>
      <c r="AB10" s="66">
        <v>0</v>
      </c>
      <c r="AC10" s="77">
        <f t="shared" si="5"/>
        <v>0</v>
      </c>
      <c r="AD10" s="68">
        <f t="shared" si="6"/>
        <v>0</v>
      </c>
      <c r="AE10" s="74">
        <f t="shared" si="7"/>
        <v>0</v>
      </c>
      <c r="AF10" s="75">
        <f t="shared" si="8"/>
        <v>0</v>
      </c>
      <c r="AG10" s="76">
        <f t="shared" si="9"/>
        <v>0</v>
      </c>
      <c r="AH10" s="68">
        <f t="shared" si="10"/>
        <v>0</v>
      </c>
      <c r="AI10" s="73">
        <f t="shared" si="11"/>
        <v>0</v>
      </c>
      <c r="AJ10" s="75">
        <f t="shared" si="12"/>
        <v>0</v>
      </c>
      <c r="AK10" s="76">
        <f t="shared" si="13"/>
        <v>0</v>
      </c>
      <c r="AL10" s="68">
        <f t="shared" si="14"/>
        <v>0</v>
      </c>
      <c r="AM10" s="73">
        <f t="shared" si="15"/>
        <v>0</v>
      </c>
      <c r="AN10" s="75">
        <f t="shared" si="16"/>
        <v>0</v>
      </c>
      <c r="AO10" s="76">
        <f t="shared" si="17"/>
        <v>0</v>
      </c>
      <c r="AP10" s="68">
        <f t="shared" si="18"/>
        <v>0</v>
      </c>
      <c r="AU10" s="70">
        <f>EOMONTH(AU9,1)</f>
        <v>59</v>
      </c>
      <c r="AV10" s="45">
        <f t="shared" si="19"/>
        <v>0</v>
      </c>
    </row>
    <row r="11" spans="2:48" x14ac:dyDescent="0.35">
      <c r="B11" s="45" t="str">
        <f>IF(J11="","",RANK($J11,$J$9:$J$620,0)+COUNTIF($J$9:J11,$J11)-1)</f>
        <v/>
      </c>
      <c r="C11" s="46"/>
      <c r="D11" s="46"/>
      <c r="E11" s="46"/>
      <c r="F11" s="47" t="str">
        <f t="shared" si="20"/>
        <v>--</v>
      </c>
      <c r="G11" s="48"/>
      <c r="H11" s="46"/>
      <c r="I11" s="49"/>
      <c r="J11" s="50"/>
      <c r="K11" s="51"/>
      <c r="L11" s="52">
        <f t="shared" si="21"/>
        <v>31</v>
      </c>
      <c r="M11" s="52">
        <f t="shared" si="21"/>
        <v>31</v>
      </c>
      <c r="N11" s="53"/>
      <c r="O11" s="54"/>
      <c r="P11" s="55">
        <f t="shared" si="0"/>
        <v>0</v>
      </c>
      <c r="Q11" s="71"/>
      <c r="R11" s="56" t="str">
        <f t="shared" si="22"/>
        <v/>
      </c>
      <c r="S11" s="57" t="str">
        <f t="shared" si="23"/>
        <v/>
      </c>
      <c r="T11" s="58"/>
      <c r="U11" s="14"/>
      <c r="V11" s="60"/>
      <c r="W11" s="72" t="str">
        <f t="shared" si="24"/>
        <v/>
      </c>
      <c r="X11" s="73">
        <f t="shared" si="1"/>
        <v>0</v>
      </c>
      <c r="Y11" s="74">
        <f t="shared" si="2"/>
        <v>0</v>
      </c>
      <c r="Z11" s="75">
        <f t="shared" si="3"/>
        <v>0</v>
      </c>
      <c r="AA11" s="76">
        <f t="shared" si="4"/>
        <v>0</v>
      </c>
      <c r="AB11" s="66">
        <v>0</v>
      </c>
      <c r="AC11" s="77">
        <f t="shared" si="5"/>
        <v>0</v>
      </c>
      <c r="AD11" s="68">
        <f t="shared" si="6"/>
        <v>0</v>
      </c>
      <c r="AE11" s="74">
        <f t="shared" si="7"/>
        <v>0</v>
      </c>
      <c r="AF11" s="75">
        <f t="shared" si="8"/>
        <v>0</v>
      </c>
      <c r="AG11" s="76">
        <f t="shared" si="9"/>
        <v>0</v>
      </c>
      <c r="AH11" s="68">
        <f t="shared" si="10"/>
        <v>0</v>
      </c>
      <c r="AI11" s="73">
        <f t="shared" si="11"/>
        <v>0</v>
      </c>
      <c r="AJ11" s="75">
        <f t="shared" si="12"/>
        <v>0</v>
      </c>
      <c r="AK11" s="76">
        <f t="shared" si="13"/>
        <v>0</v>
      </c>
      <c r="AL11" s="68">
        <f t="shared" si="14"/>
        <v>0</v>
      </c>
      <c r="AM11" s="73">
        <f t="shared" si="15"/>
        <v>0</v>
      </c>
      <c r="AN11" s="75">
        <f t="shared" si="16"/>
        <v>0</v>
      </c>
      <c r="AO11" s="76">
        <f t="shared" si="17"/>
        <v>0</v>
      </c>
      <c r="AP11" s="68">
        <f t="shared" si="18"/>
        <v>0</v>
      </c>
      <c r="AU11" s="70">
        <f t="shared" ref="AU11:AU20" si="25">EOMONTH(AU10,1)</f>
        <v>91</v>
      </c>
      <c r="AV11" s="45">
        <f t="shared" si="19"/>
        <v>0</v>
      </c>
    </row>
    <row r="12" spans="2:48" x14ac:dyDescent="0.35">
      <c r="B12" s="45" t="str">
        <f>IF(J12="","",RANK($J12,$J$9:$J$620,0)+COUNTIF($J$9:J12,$J12)-1)</f>
        <v/>
      </c>
      <c r="C12" s="46"/>
      <c r="D12" s="46"/>
      <c r="E12" s="46"/>
      <c r="F12" s="47" t="str">
        <f t="shared" si="20"/>
        <v>--</v>
      </c>
      <c r="G12" s="48"/>
      <c r="H12" s="46"/>
      <c r="I12" s="49"/>
      <c r="J12" s="50"/>
      <c r="K12" s="51"/>
      <c r="L12" s="52">
        <f t="shared" si="21"/>
        <v>31</v>
      </c>
      <c r="M12" s="52">
        <f t="shared" si="21"/>
        <v>31</v>
      </c>
      <c r="N12" s="53"/>
      <c r="O12" s="54"/>
      <c r="P12" s="55">
        <f t="shared" si="0"/>
        <v>0</v>
      </c>
      <c r="Q12" s="71"/>
      <c r="R12" s="56" t="str">
        <f t="shared" si="22"/>
        <v/>
      </c>
      <c r="S12" s="57" t="str">
        <f t="shared" si="23"/>
        <v/>
      </c>
      <c r="T12" s="58"/>
      <c r="U12" s="14"/>
      <c r="V12" s="60"/>
      <c r="W12" s="72" t="str">
        <f t="shared" si="24"/>
        <v/>
      </c>
      <c r="X12" s="73">
        <f t="shared" si="1"/>
        <v>0</v>
      </c>
      <c r="Y12" s="74">
        <f t="shared" si="2"/>
        <v>0</v>
      </c>
      <c r="Z12" s="75">
        <f t="shared" si="3"/>
        <v>0</v>
      </c>
      <c r="AA12" s="76">
        <f t="shared" si="4"/>
        <v>0</v>
      </c>
      <c r="AB12" s="66">
        <v>0</v>
      </c>
      <c r="AC12" s="77">
        <f t="shared" si="5"/>
        <v>0</v>
      </c>
      <c r="AD12" s="68">
        <f t="shared" si="6"/>
        <v>0</v>
      </c>
      <c r="AE12" s="74">
        <f t="shared" si="7"/>
        <v>0</v>
      </c>
      <c r="AF12" s="75">
        <f t="shared" si="8"/>
        <v>0</v>
      </c>
      <c r="AG12" s="76">
        <f t="shared" si="9"/>
        <v>0</v>
      </c>
      <c r="AH12" s="68">
        <f t="shared" si="10"/>
        <v>0</v>
      </c>
      <c r="AI12" s="73">
        <f t="shared" si="11"/>
        <v>0</v>
      </c>
      <c r="AJ12" s="75">
        <f t="shared" si="12"/>
        <v>0</v>
      </c>
      <c r="AK12" s="76">
        <f t="shared" si="13"/>
        <v>0</v>
      </c>
      <c r="AL12" s="68">
        <f t="shared" si="14"/>
        <v>0</v>
      </c>
      <c r="AM12" s="73">
        <f t="shared" si="15"/>
        <v>0</v>
      </c>
      <c r="AN12" s="75">
        <f t="shared" si="16"/>
        <v>0</v>
      </c>
      <c r="AO12" s="76">
        <f t="shared" si="17"/>
        <v>0</v>
      </c>
      <c r="AP12" s="68">
        <f t="shared" si="18"/>
        <v>0</v>
      </c>
      <c r="AU12" s="70">
        <f t="shared" si="25"/>
        <v>121</v>
      </c>
      <c r="AV12" s="45">
        <f t="shared" si="19"/>
        <v>0</v>
      </c>
    </row>
    <row r="13" spans="2:48" x14ac:dyDescent="0.35">
      <c r="B13" s="45" t="str">
        <f>IF(J13="","",RANK($J13,$J$9:$J$620,0)+COUNTIF($J$9:J13,$J13)-1)</f>
        <v/>
      </c>
      <c r="C13" s="46"/>
      <c r="D13" s="46"/>
      <c r="E13" s="46"/>
      <c r="F13" s="47" t="str">
        <f t="shared" si="20"/>
        <v>--</v>
      </c>
      <c r="G13" s="48"/>
      <c r="H13" s="46"/>
      <c r="I13" s="49"/>
      <c r="J13" s="50"/>
      <c r="K13" s="51"/>
      <c r="L13" s="52">
        <f t="shared" si="21"/>
        <v>31</v>
      </c>
      <c r="M13" s="52">
        <f t="shared" si="21"/>
        <v>31</v>
      </c>
      <c r="N13" s="53"/>
      <c r="O13" s="54"/>
      <c r="P13" s="55">
        <f t="shared" si="0"/>
        <v>0</v>
      </c>
      <c r="Q13" s="71"/>
      <c r="R13" s="56" t="str">
        <f t="shared" si="22"/>
        <v/>
      </c>
      <c r="S13" s="57" t="str">
        <f t="shared" si="23"/>
        <v/>
      </c>
      <c r="T13" s="58"/>
      <c r="U13" s="14"/>
      <c r="V13" s="60"/>
      <c r="W13" s="72" t="str">
        <f t="shared" si="24"/>
        <v/>
      </c>
      <c r="X13" s="73">
        <f t="shared" si="1"/>
        <v>0</v>
      </c>
      <c r="Y13" s="74">
        <f t="shared" si="2"/>
        <v>0</v>
      </c>
      <c r="Z13" s="75">
        <f t="shared" si="3"/>
        <v>0</v>
      </c>
      <c r="AA13" s="76">
        <f t="shared" si="4"/>
        <v>0</v>
      </c>
      <c r="AB13" s="66">
        <v>0</v>
      </c>
      <c r="AC13" s="77">
        <f t="shared" si="5"/>
        <v>0</v>
      </c>
      <c r="AD13" s="68">
        <f t="shared" si="6"/>
        <v>0</v>
      </c>
      <c r="AE13" s="74">
        <f t="shared" si="7"/>
        <v>0</v>
      </c>
      <c r="AF13" s="75">
        <f t="shared" si="8"/>
        <v>0</v>
      </c>
      <c r="AG13" s="76">
        <f t="shared" si="9"/>
        <v>0</v>
      </c>
      <c r="AH13" s="68">
        <f t="shared" si="10"/>
        <v>0</v>
      </c>
      <c r="AI13" s="73">
        <f t="shared" si="11"/>
        <v>0</v>
      </c>
      <c r="AJ13" s="75">
        <f t="shared" si="12"/>
        <v>0</v>
      </c>
      <c r="AK13" s="76">
        <f t="shared" si="13"/>
        <v>0</v>
      </c>
      <c r="AL13" s="68">
        <f t="shared" si="14"/>
        <v>0</v>
      </c>
      <c r="AM13" s="73">
        <f t="shared" si="15"/>
        <v>0</v>
      </c>
      <c r="AN13" s="75">
        <f t="shared" si="16"/>
        <v>0</v>
      </c>
      <c r="AO13" s="76">
        <f t="shared" si="17"/>
        <v>0</v>
      </c>
      <c r="AP13" s="68">
        <f t="shared" si="18"/>
        <v>0</v>
      </c>
      <c r="AU13" s="70">
        <f t="shared" si="25"/>
        <v>152</v>
      </c>
      <c r="AV13" s="45">
        <f t="shared" si="19"/>
        <v>0</v>
      </c>
    </row>
    <row r="14" spans="2:48" x14ac:dyDescent="0.35">
      <c r="B14" s="45" t="str">
        <f>IF(J14="","",RANK($J14,$J$9:$J$620,0)+COUNTIF($J$9:J14,$J14)-1)</f>
        <v/>
      </c>
      <c r="C14" s="46"/>
      <c r="D14" s="46"/>
      <c r="E14" s="46"/>
      <c r="F14" s="47" t="str">
        <f t="shared" si="20"/>
        <v>--</v>
      </c>
      <c r="G14" s="48"/>
      <c r="H14" s="46"/>
      <c r="I14" s="49"/>
      <c r="J14" s="50"/>
      <c r="K14" s="51"/>
      <c r="L14" s="52">
        <f t="shared" si="21"/>
        <v>31</v>
      </c>
      <c r="M14" s="52">
        <f t="shared" si="21"/>
        <v>31</v>
      </c>
      <c r="N14" s="53"/>
      <c r="O14" s="54"/>
      <c r="P14" s="55">
        <f t="shared" si="0"/>
        <v>0</v>
      </c>
      <c r="Q14" s="71"/>
      <c r="R14" s="56" t="str">
        <f t="shared" si="22"/>
        <v/>
      </c>
      <c r="S14" s="57" t="str">
        <f t="shared" si="23"/>
        <v/>
      </c>
      <c r="T14" s="58"/>
      <c r="V14" s="60"/>
      <c r="W14" s="72" t="str">
        <f t="shared" si="24"/>
        <v/>
      </c>
      <c r="X14" s="73">
        <f t="shared" si="1"/>
        <v>0</v>
      </c>
      <c r="Y14" s="74">
        <f t="shared" si="2"/>
        <v>0</v>
      </c>
      <c r="Z14" s="75">
        <f t="shared" si="3"/>
        <v>0</v>
      </c>
      <c r="AA14" s="76">
        <f t="shared" si="4"/>
        <v>0</v>
      </c>
      <c r="AB14" s="66">
        <v>0</v>
      </c>
      <c r="AC14" s="77">
        <f t="shared" si="5"/>
        <v>0</v>
      </c>
      <c r="AD14" s="68">
        <f t="shared" si="6"/>
        <v>0</v>
      </c>
      <c r="AE14" s="74">
        <f t="shared" si="7"/>
        <v>0</v>
      </c>
      <c r="AF14" s="75">
        <f t="shared" si="8"/>
        <v>0</v>
      </c>
      <c r="AG14" s="76">
        <f t="shared" si="9"/>
        <v>0</v>
      </c>
      <c r="AH14" s="68">
        <f t="shared" si="10"/>
        <v>0</v>
      </c>
      <c r="AI14" s="73">
        <f t="shared" si="11"/>
        <v>0</v>
      </c>
      <c r="AJ14" s="75">
        <f t="shared" si="12"/>
        <v>0</v>
      </c>
      <c r="AK14" s="76">
        <f t="shared" si="13"/>
        <v>0</v>
      </c>
      <c r="AL14" s="68">
        <f t="shared" si="14"/>
        <v>0</v>
      </c>
      <c r="AM14" s="73">
        <f t="shared" si="15"/>
        <v>0</v>
      </c>
      <c r="AN14" s="75">
        <f t="shared" si="16"/>
        <v>0</v>
      </c>
      <c r="AO14" s="76">
        <f t="shared" si="17"/>
        <v>0</v>
      </c>
      <c r="AP14" s="68">
        <f t="shared" si="18"/>
        <v>0</v>
      </c>
      <c r="AU14" s="70">
        <f t="shared" si="25"/>
        <v>182</v>
      </c>
      <c r="AV14" s="45">
        <f t="shared" si="19"/>
        <v>0</v>
      </c>
    </row>
    <row r="15" spans="2:48" x14ac:dyDescent="0.35">
      <c r="B15" s="45" t="str">
        <f>IF(J15="","",RANK($J15,$J$9:$J$620,0)+COUNTIF($J$9:J15,$J15)-1)</f>
        <v/>
      </c>
      <c r="C15" s="46"/>
      <c r="D15" s="46"/>
      <c r="E15" s="46"/>
      <c r="F15" s="47" t="str">
        <f t="shared" si="20"/>
        <v>--</v>
      </c>
      <c r="G15" s="48"/>
      <c r="H15" s="46"/>
      <c r="I15" s="49"/>
      <c r="J15" s="50"/>
      <c r="K15" s="51"/>
      <c r="L15" s="52">
        <f t="shared" si="21"/>
        <v>31</v>
      </c>
      <c r="M15" s="52">
        <f t="shared" si="21"/>
        <v>31</v>
      </c>
      <c r="N15" s="53"/>
      <c r="O15" s="54"/>
      <c r="P15" s="55">
        <f t="shared" si="0"/>
        <v>0</v>
      </c>
      <c r="Q15" s="71"/>
      <c r="R15" s="56" t="str">
        <f t="shared" si="22"/>
        <v/>
      </c>
      <c r="S15" s="57" t="str">
        <f t="shared" si="23"/>
        <v/>
      </c>
      <c r="T15" s="58"/>
      <c r="U15" s="14"/>
      <c r="V15" s="60"/>
      <c r="W15" s="72" t="str">
        <f t="shared" si="24"/>
        <v/>
      </c>
      <c r="X15" s="73">
        <f t="shared" si="1"/>
        <v>0</v>
      </c>
      <c r="Y15" s="74">
        <f t="shared" si="2"/>
        <v>0</v>
      </c>
      <c r="Z15" s="75">
        <f t="shared" si="3"/>
        <v>0</v>
      </c>
      <c r="AA15" s="76">
        <f t="shared" si="4"/>
        <v>0</v>
      </c>
      <c r="AB15" s="66">
        <v>0</v>
      </c>
      <c r="AC15" s="77">
        <f t="shared" si="5"/>
        <v>0</v>
      </c>
      <c r="AD15" s="68">
        <f t="shared" si="6"/>
        <v>0</v>
      </c>
      <c r="AE15" s="74">
        <f t="shared" si="7"/>
        <v>0</v>
      </c>
      <c r="AF15" s="75">
        <f t="shared" si="8"/>
        <v>0</v>
      </c>
      <c r="AG15" s="76">
        <f t="shared" si="9"/>
        <v>0</v>
      </c>
      <c r="AH15" s="68">
        <f t="shared" si="10"/>
        <v>0</v>
      </c>
      <c r="AI15" s="73">
        <f t="shared" si="11"/>
        <v>0</v>
      </c>
      <c r="AJ15" s="75">
        <f t="shared" si="12"/>
        <v>0</v>
      </c>
      <c r="AK15" s="76">
        <f t="shared" si="13"/>
        <v>0</v>
      </c>
      <c r="AL15" s="68">
        <f t="shared" si="14"/>
        <v>0</v>
      </c>
      <c r="AM15" s="73">
        <f t="shared" si="15"/>
        <v>0</v>
      </c>
      <c r="AN15" s="75">
        <f t="shared" si="16"/>
        <v>0</v>
      </c>
      <c r="AO15" s="76">
        <f t="shared" si="17"/>
        <v>0</v>
      </c>
      <c r="AP15" s="68">
        <f t="shared" si="18"/>
        <v>0</v>
      </c>
      <c r="AU15" s="70">
        <f t="shared" si="25"/>
        <v>213</v>
      </c>
      <c r="AV15" s="45">
        <f t="shared" si="19"/>
        <v>0</v>
      </c>
    </row>
    <row r="16" spans="2:48" x14ac:dyDescent="0.35">
      <c r="B16" s="45" t="str">
        <f>IF(J16="","",RANK($J16,$J$9:$J$620,0)+COUNTIF($J$9:J16,$J16)-1)</f>
        <v/>
      </c>
      <c r="C16" s="46"/>
      <c r="D16" s="46"/>
      <c r="E16" s="46"/>
      <c r="F16" s="47" t="str">
        <f t="shared" si="20"/>
        <v>--</v>
      </c>
      <c r="G16" s="48"/>
      <c r="H16" s="46"/>
      <c r="I16" s="49"/>
      <c r="J16" s="50"/>
      <c r="K16" s="51"/>
      <c r="L16" s="52">
        <f t="shared" si="21"/>
        <v>31</v>
      </c>
      <c r="M16" s="52">
        <f t="shared" si="21"/>
        <v>31</v>
      </c>
      <c r="N16" s="53"/>
      <c r="O16" s="54"/>
      <c r="P16" s="55">
        <f t="shared" si="0"/>
        <v>0</v>
      </c>
      <c r="Q16" s="71"/>
      <c r="R16" s="56" t="str">
        <f t="shared" si="22"/>
        <v/>
      </c>
      <c r="S16" s="57" t="str">
        <f t="shared" si="23"/>
        <v/>
      </c>
      <c r="T16" s="58"/>
      <c r="U16" s="14"/>
      <c r="V16" s="60"/>
      <c r="W16" s="72" t="str">
        <f t="shared" si="24"/>
        <v/>
      </c>
      <c r="X16" s="73">
        <f t="shared" si="1"/>
        <v>0</v>
      </c>
      <c r="Y16" s="74">
        <f t="shared" si="2"/>
        <v>0</v>
      </c>
      <c r="Z16" s="75">
        <f t="shared" si="3"/>
        <v>0</v>
      </c>
      <c r="AA16" s="76">
        <f t="shared" si="4"/>
        <v>0</v>
      </c>
      <c r="AB16" s="66">
        <v>0</v>
      </c>
      <c r="AC16" s="77">
        <f t="shared" si="5"/>
        <v>0</v>
      </c>
      <c r="AD16" s="68">
        <f t="shared" si="6"/>
        <v>0</v>
      </c>
      <c r="AE16" s="74">
        <f t="shared" si="7"/>
        <v>0</v>
      </c>
      <c r="AF16" s="75">
        <f t="shared" si="8"/>
        <v>0</v>
      </c>
      <c r="AG16" s="76">
        <f t="shared" si="9"/>
        <v>0</v>
      </c>
      <c r="AH16" s="68">
        <f t="shared" si="10"/>
        <v>0</v>
      </c>
      <c r="AI16" s="73">
        <f t="shared" si="11"/>
        <v>0</v>
      </c>
      <c r="AJ16" s="75">
        <f t="shared" si="12"/>
        <v>0</v>
      </c>
      <c r="AK16" s="76">
        <f t="shared" si="13"/>
        <v>0</v>
      </c>
      <c r="AL16" s="68">
        <f t="shared" si="14"/>
        <v>0</v>
      </c>
      <c r="AM16" s="73">
        <f t="shared" si="15"/>
        <v>0</v>
      </c>
      <c r="AN16" s="75">
        <f t="shared" si="16"/>
        <v>0</v>
      </c>
      <c r="AO16" s="76">
        <f t="shared" si="17"/>
        <v>0</v>
      </c>
      <c r="AP16" s="68">
        <f t="shared" si="18"/>
        <v>0</v>
      </c>
      <c r="AU16" s="70">
        <f t="shared" si="25"/>
        <v>244</v>
      </c>
      <c r="AV16" s="45">
        <f t="shared" si="19"/>
        <v>0</v>
      </c>
    </row>
    <row r="17" spans="2:49" x14ac:dyDescent="0.35">
      <c r="B17" s="45" t="str">
        <f>IF(J17="","",RANK($J17,$J$9:$J$620,0)+COUNTIF($J$9:J17,$J17)-1)</f>
        <v/>
      </c>
      <c r="C17" s="46"/>
      <c r="D17" s="46"/>
      <c r="E17" s="46"/>
      <c r="F17" s="47" t="str">
        <f t="shared" si="20"/>
        <v>--</v>
      </c>
      <c r="G17" s="48"/>
      <c r="H17" s="46"/>
      <c r="I17" s="49"/>
      <c r="J17" s="50"/>
      <c r="K17" s="51"/>
      <c r="L17" s="52">
        <f t="shared" si="21"/>
        <v>31</v>
      </c>
      <c r="M17" s="52">
        <f t="shared" si="21"/>
        <v>31</v>
      </c>
      <c r="N17" s="53"/>
      <c r="O17" s="54"/>
      <c r="P17" s="55">
        <f t="shared" si="0"/>
        <v>0</v>
      </c>
      <c r="Q17" s="71"/>
      <c r="R17" s="56" t="str">
        <f t="shared" si="22"/>
        <v/>
      </c>
      <c r="S17" s="57" t="str">
        <f t="shared" si="23"/>
        <v/>
      </c>
      <c r="T17" s="58"/>
      <c r="V17" s="60"/>
      <c r="W17" s="72" t="str">
        <f t="shared" si="24"/>
        <v/>
      </c>
      <c r="X17" s="73">
        <f t="shared" si="1"/>
        <v>0</v>
      </c>
      <c r="Y17" s="74">
        <f t="shared" si="2"/>
        <v>0</v>
      </c>
      <c r="Z17" s="75">
        <f t="shared" si="3"/>
        <v>0</v>
      </c>
      <c r="AA17" s="76">
        <f t="shared" si="4"/>
        <v>0</v>
      </c>
      <c r="AB17" s="66">
        <v>0</v>
      </c>
      <c r="AC17" s="77">
        <f t="shared" si="5"/>
        <v>0</v>
      </c>
      <c r="AD17" s="68">
        <f t="shared" si="6"/>
        <v>0</v>
      </c>
      <c r="AE17" s="74">
        <f t="shared" si="7"/>
        <v>0</v>
      </c>
      <c r="AF17" s="75">
        <f t="shared" si="8"/>
        <v>0</v>
      </c>
      <c r="AG17" s="76">
        <f t="shared" si="9"/>
        <v>0</v>
      </c>
      <c r="AH17" s="68">
        <f t="shared" si="10"/>
        <v>0</v>
      </c>
      <c r="AI17" s="73">
        <f t="shared" si="11"/>
        <v>0</v>
      </c>
      <c r="AJ17" s="75">
        <f t="shared" si="12"/>
        <v>0</v>
      </c>
      <c r="AK17" s="76">
        <f t="shared" si="13"/>
        <v>0</v>
      </c>
      <c r="AL17" s="68">
        <f t="shared" si="14"/>
        <v>0</v>
      </c>
      <c r="AM17" s="73">
        <f t="shared" si="15"/>
        <v>0</v>
      </c>
      <c r="AN17" s="75">
        <f t="shared" si="16"/>
        <v>0</v>
      </c>
      <c r="AO17" s="76">
        <f t="shared" si="17"/>
        <v>0</v>
      </c>
      <c r="AP17" s="68">
        <f t="shared" si="18"/>
        <v>0</v>
      </c>
      <c r="AU17" s="70">
        <f t="shared" si="25"/>
        <v>274</v>
      </c>
      <c r="AV17" s="45">
        <f t="shared" si="19"/>
        <v>0</v>
      </c>
    </row>
    <row r="18" spans="2:49" x14ac:dyDescent="0.35">
      <c r="B18" s="45" t="str">
        <f>IF(J18="","",RANK($J18,$J$9:$J$620,0)+COUNTIF($J$9:J18,$J18)-1)</f>
        <v/>
      </c>
      <c r="C18" s="46"/>
      <c r="D18" s="46"/>
      <c r="E18" s="46"/>
      <c r="F18" s="47" t="str">
        <f t="shared" si="20"/>
        <v>--</v>
      </c>
      <c r="G18" s="48"/>
      <c r="H18" s="46"/>
      <c r="I18" s="49"/>
      <c r="J18" s="50"/>
      <c r="K18" s="51"/>
      <c r="L18" s="52">
        <f t="shared" si="21"/>
        <v>31</v>
      </c>
      <c r="M18" s="52">
        <f t="shared" si="21"/>
        <v>31</v>
      </c>
      <c r="N18" s="53"/>
      <c r="O18" s="54"/>
      <c r="P18" s="55">
        <f t="shared" si="0"/>
        <v>0</v>
      </c>
      <c r="Q18" s="46"/>
      <c r="R18" s="56" t="str">
        <f t="shared" si="22"/>
        <v/>
      </c>
      <c r="S18" s="57" t="str">
        <f t="shared" si="23"/>
        <v/>
      </c>
      <c r="T18" s="58"/>
      <c r="V18" s="60"/>
      <c r="W18" s="72" t="str">
        <f t="shared" si="24"/>
        <v/>
      </c>
      <c r="X18" s="73">
        <f t="shared" si="1"/>
        <v>0</v>
      </c>
      <c r="Y18" s="74">
        <f t="shared" si="2"/>
        <v>0</v>
      </c>
      <c r="Z18" s="75">
        <f t="shared" si="3"/>
        <v>0</v>
      </c>
      <c r="AA18" s="76">
        <f t="shared" si="4"/>
        <v>0</v>
      </c>
      <c r="AB18" s="66">
        <v>0</v>
      </c>
      <c r="AC18" s="77">
        <f t="shared" si="5"/>
        <v>0</v>
      </c>
      <c r="AD18" s="68">
        <f t="shared" si="6"/>
        <v>0</v>
      </c>
      <c r="AE18" s="74">
        <f t="shared" si="7"/>
        <v>0</v>
      </c>
      <c r="AF18" s="75">
        <f t="shared" si="8"/>
        <v>0</v>
      </c>
      <c r="AG18" s="76">
        <f t="shared" si="9"/>
        <v>0</v>
      </c>
      <c r="AH18" s="68">
        <f t="shared" si="10"/>
        <v>0</v>
      </c>
      <c r="AI18" s="73">
        <f t="shared" si="11"/>
        <v>0</v>
      </c>
      <c r="AJ18" s="75">
        <f t="shared" si="12"/>
        <v>0</v>
      </c>
      <c r="AK18" s="76">
        <f t="shared" si="13"/>
        <v>0</v>
      </c>
      <c r="AL18" s="68">
        <f t="shared" si="14"/>
        <v>0</v>
      </c>
      <c r="AM18" s="73">
        <f t="shared" si="15"/>
        <v>0</v>
      </c>
      <c r="AN18" s="75">
        <f t="shared" si="16"/>
        <v>0</v>
      </c>
      <c r="AO18" s="76">
        <f t="shared" si="17"/>
        <v>0</v>
      </c>
      <c r="AP18" s="68">
        <f t="shared" si="18"/>
        <v>0</v>
      </c>
      <c r="AU18" s="70">
        <f t="shared" si="25"/>
        <v>305</v>
      </c>
      <c r="AV18" s="45">
        <f t="shared" si="19"/>
        <v>0</v>
      </c>
    </row>
    <row r="19" spans="2:49" x14ac:dyDescent="0.35">
      <c r="B19" s="45" t="str">
        <f>IF(J19="","",RANK($J19,$J$9:$J$620,0)+COUNTIF($J$9:J19,$J19)-1)</f>
        <v/>
      </c>
      <c r="C19" s="46"/>
      <c r="D19" s="46"/>
      <c r="E19" s="46"/>
      <c r="F19" s="47" t="str">
        <f t="shared" si="20"/>
        <v>--</v>
      </c>
      <c r="G19" s="48"/>
      <c r="H19" s="46"/>
      <c r="I19" s="49"/>
      <c r="J19" s="50"/>
      <c r="K19" s="51"/>
      <c r="L19" s="52">
        <f t="shared" si="21"/>
        <v>31</v>
      </c>
      <c r="M19" s="52">
        <f t="shared" si="21"/>
        <v>31</v>
      </c>
      <c r="N19" s="53"/>
      <c r="O19" s="54"/>
      <c r="P19" s="55">
        <f t="shared" si="0"/>
        <v>0</v>
      </c>
      <c r="Q19" s="71"/>
      <c r="R19" s="56" t="str">
        <f t="shared" si="22"/>
        <v/>
      </c>
      <c r="S19" s="57" t="str">
        <f t="shared" si="23"/>
        <v/>
      </c>
      <c r="T19" s="58"/>
      <c r="V19" s="60"/>
      <c r="W19" s="72" t="str">
        <f t="shared" si="24"/>
        <v/>
      </c>
      <c r="X19" s="73">
        <f t="shared" si="1"/>
        <v>0</v>
      </c>
      <c r="Y19" s="74">
        <f t="shared" si="2"/>
        <v>0</v>
      </c>
      <c r="Z19" s="75">
        <f t="shared" si="3"/>
        <v>0</v>
      </c>
      <c r="AA19" s="76">
        <f t="shared" si="4"/>
        <v>0</v>
      </c>
      <c r="AB19" s="78">
        <v>0</v>
      </c>
      <c r="AC19" s="77">
        <f t="shared" si="5"/>
        <v>0</v>
      </c>
      <c r="AD19" s="68">
        <f t="shared" si="6"/>
        <v>0</v>
      </c>
      <c r="AE19" s="74">
        <f t="shared" si="7"/>
        <v>0</v>
      </c>
      <c r="AF19" s="75">
        <f t="shared" si="8"/>
        <v>0</v>
      </c>
      <c r="AG19" s="76">
        <f t="shared" si="9"/>
        <v>0</v>
      </c>
      <c r="AH19" s="68">
        <f t="shared" si="10"/>
        <v>0</v>
      </c>
      <c r="AI19" s="73">
        <f t="shared" si="11"/>
        <v>0</v>
      </c>
      <c r="AJ19" s="75">
        <f t="shared" si="12"/>
        <v>0</v>
      </c>
      <c r="AK19" s="76">
        <f t="shared" si="13"/>
        <v>0</v>
      </c>
      <c r="AL19" s="68">
        <f t="shared" si="14"/>
        <v>0</v>
      </c>
      <c r="AM19" s="73">
        <f t="shared" si="15"/>
        <v>0</v>
      </c>
      <c r="AN19" s="75">
        <f t="shared" si="16"/>
        <v>0</v>
      </c>
      <c r="AO19" s="76">
        <f t="shared" si="17"/>
        <v>0</v>
      </c>
      <c r="AP19" s="68">
        <f t="shared" si="18"/>
        <v>0</v>
      </c>
      <c r="AU19" s="70">
        <f t="shared" si="25"/>
        <v>335</v>
      </c>
      <c r="AV19" s="45">
        <f t="shared" si="19"/>
        <v>0</v>
      </c>
    </row>
    <row r="20" spans="2:49" s="79" customFormat="1" x14ac:dyDescent="0.35">
      <c r="B20" s="45" t="str">
        <f>IF(J20="","",RANK($J20,$J$9:$J$620,0)+COUNTIF($J$9:J20,$J20)-1)</f>
        <v/>
      </c>
      <c r="C20" s="46"/>
      <c r="D20" s="46"/>
      <c r="E20" s="46"/>
      <c r="F20" s="47" t="str">
        <f t="shared" si="20"/>
        <v>--</v>
      </c>
      <c r="G20" s="48"/>
      <c r="H20" s="46"/>
      <c r="I20" s="49"/>
      <c r="J20" s="50"/>
      <c r="K20" s="51"/>
      <c r="L20" s="52">
        <f t="shared" si="21"/>
        <v>31</v>
      </c>
      <c r="M20" s="52">
        <f t="shared" si="21"/>
        <v>31</v>
      </c>
      <c r="N20" s="53"/>
      <c r="O20" s="54"/>
      <c r="P20" s="55">
        <f t="shared" si="0"/>
        <v>0</v>
      </c>
      <c r="Q20" s="71"/>
      <c r="R20" s="56" t="str">
        <f t="shared" si="22"/>
        <v/>
      </c>
      <c r="S20" s="57" t="str">
        <f t="shared" si="23"/>
        <v/>
      </c>
      <c r="T20" s="58"/>
      <c r="V20" s="80"/>
      <c r="W20" s="72" t="str">
        <f t="shared" si="24"/>
        <v/>
      </c>
      <c r="X20" s="81">
        <f t="shared" si="1"/>
        <v>0</v>
      </c>
      <c r="Y20" s="82">
        <f t="shared" si="2"/>
        <v>0</v>
      </c>
      <c r="Z20" s="83">
        <f t="shared" si="3"/>
        <v>0</v>
      </c>
      <c r="AA20" s="84">
        <f t="shared" si="4"/>
        <v>0</v>
      </c>
      <c r="AB20" s="78">
        <v>0</v>
      </c>
      <c r="AC20" s="77">
        <f t="shared" si="5"/>
        <v>0</v>
      </c>
      <c r="AD20" s="68">
        <f t="shared" si="6"/>
        <v>0</v>
      </c>
      <c r="AE20" s="82">
        <f t="shared" si="7"/>
        <v>0</v>
      </c>
      <c r="AF20" s="83">
        <f t="shared" si="8"/>
        <v>0</v>
      </c>
      <c r="AG20" s="84">
        <f t="shared" si="9"/>
        <v>0</v>
      </c>
      <c r="AH20" s="68">
        <f t="shared" si="10"/>
        <v>0</v>
      </c>
      <c r="AI20" s="81">
        <f t="shared" si="11"/>
        <v>0</v>
      </c>
      <c r="AJ20" s="83">
        <f t="shared" si="12"/>
        <v>0</v>
      </c>
      <c r="AK20" s="84">
        <f t="shared" si="13"/>
        <v>0</v>
      </c>
      <c r="AL20" s="85">
        <f t="shared" si="14"/>
        <v>0</v>
      </c>
      <c r="AM20" s="81">
        <f t="shared" si="15"/>
        <v>0</v>
      </c>
      <c r="AN20" s="83">
        <f t="shared" si="16"/>
        <v>0</v>
      </c>
      <c r="AO20" s="84">
        <f t="shared" si="17"/>
        <v>0</v>
      </c>
      <c r="AP20" s="85">
        <f t="shared" si="18"/>
        <v>0</v>
      </c>
      <c r="AU20" s="70">
        <f t="shared" si="25"/>
        <v>366</v>
      </c>
      <c r="AV20" s="45">
        <f t="shared" si="19"/>
        <v>0</v>
      </c>
    </row>
    <row r="21" spans="2:49" x14ac:dyDescent="0.35">
      <c r="B21" s="45" t="str">
        <f>IF(J21="","",RANK($J21,$J$9:$J$620,0)+COUNTIF($J$9:J21,$J21)-1)</f>
        <v/>
      </c>
      <c r="C21" s="46"/>
      <c r="D21" s="46"/>
      <c r="E21" s="46"/>
      <c r="F21" s="47" t="str">
        <f t="shared" si="20"/>
        <v>--</v>
      </c>
      <c r="G21" s="48"/>
      <c r="H21" s="46"/>
      <c r="I21" s="49"/>
      <c r="J21" s="50"/>
      <c r="K21" s="51"/>
      <c r="L21" s="52">
        <f t="shared" si="21"/>
        <v>31</v>
      </c>
      <c r="M21" s="52">
        <f t="shared" si="21"/>
        <v>31</v>
      </c>
      <c r="N21" s="53"/>
      <c r="O21" s="54"/>
      <c r="P21" s="55">
        <f t="shared" si="0"/>
        <v>0</v>
      </c>
      <c r="Q21" s="46"/>
      <c r="R21" s="56" t="str">
        <f t="shared" si="22"/>
        <v/>
      </c>
      <c r="S21" s="57" t="str">
        <f t="shared" si="23"/>
        <v/>
      </c>
      <c r="T21" s="58"/>
      <c r="U21" s="14"/>
      <c r="V21" s="60"/>
      <c r="W21" s="72" t="str">
        <f t="shared" si="24"/>
        <v/>
      </c>
      <c r="X21" s="73">
        <f t="shared" si="1"/>
        <v>0</v>
      </c>
      <c r="Y21" s="74">
        <f t="shared" si="2"/>
        <v>0</v>
      </c>
      <c r="Z21" s="75">
        <f t="shared" si="3"/>
        <v>0</v>
      </c>
      <c r="AA21" s="76">
        <f t="shared" si="4"/>
        <v>0</v>
      </c>
      <c r="AB21" s="78">
        <v>0</v>
      </c>
      <c r="AC21" s="77">
        <f t="shared" si="5"/>
        <v>0</v>
      </c>
      <c r="AD21" s="68">
        <f t="shared" si="6"/>
        <v>0</v>
      </c>
      <c r="AE21" s="74">
        <f t="shared" si="7"/>
        <v>0</v>
      </c>
      <c r="AF21" s="75">
        <f t="shared" si="8"/>
        <v>0</v>
      </c>
      <c r="AG21" s="76">
        <f t="shared" si="9"/>
        <v>0</v>
      </c>
      <c r="AH21" s="68">
        <f t="shared" si="10"/>
        <v>0</v>
      </c>
      <c r="AI21" s="73">
        <f t="shared" si="11"/>
        <v>0</v>
      </c>
      <c r="AJ21" s="75">
        <f t="shared" si="12"/>
        <v>0</v>
      </c>
      <c r="AK21" s="76">
        <f t="shared" si="13"/>
        <v>0</v>
      </c>
      <c r="AL21" s="68">
        <f t="shared" si="14"/>
        <v>0</v>
      </c>
      <c r="AM21" s="73">
        <f t="shared" si="15"/>
        <v>0</v>
      </c>
      <c r="AN21" s="75">
        <f t="shared" si="16"/>
        <v>0</v>
      </c>
      <c r="AO21" s="76">
        <f t="shared" si="17"/>
        <v>0</v>
      </c>
      <c r="AP21" s="68">
        <f t="shared" si="18"/>
        <v>0</v>
      </c>
      <c r="AU21" s="86" t="s">
        <v>37</v>
      </c>
      <c r="AV21" s="86">
        <f>SUM(AV9:AV20)</f>
        <v>612</v>
      </c>
      <c r="AW21" s="87"/>
    </row>
    <row r="22" spans="2:49" x14ac:dyDescent="0.35">
      <c r="B22" s="45" t="str">
        <f>IF(J22="","",RANK($J22,$J$9:$J$620,0)+COUNTIF($J$9:J22,$J22)-1)</f>
        <v/>
      </c>
      <c r="C22" s="46"/>
      <c r="D22" s="46"/>
      <c r="E22" s="46"/>
      <c r="F22" s="47" t="str">
        <f t="shared" si="20"/>
        <v>--</v>
      </c>
      <c r="G22" s="48"/>
      <c r="H22" s="46"/>
      <c r="I22" s="49"/>
      <c r="J22" s="50"/>
      <c r="K22" s="51"/>
      <c r="L22" s="52">
        <f t="shared" si="21"/>
        <v>31</v>
      </c>
      <c r="M22" s="52">
        <f t="shared" si="21"/>
        <v>31</v>
      </c>
      <c r="N22" s="53"/>
      <c r="O22" s="54"/>
      <c r="P22" s="55">
        <f t="shared" si="0"/>
        <v>0</v>
      </c>
      <c r="Q22" s="71"/>
      <c r="R22" s="56" t="str">
        <f t="shared" si="22"/>
        <v/>
      </c>
      <c r="S22" s="57" t="str">
        <f t="shared" si="23"/>
        <v/>
      </c>
      <c r="T22" s="58"/>
      <c r="V22" s="60"/>
      <c r="W22" s="72" t="str">
        <f t="shared" si="24"/>
        <v/>
      </c>
      <c r="X22" s="73">
        <f t="shared" si="1"/>
        <v>0</v>
      </c>
      <c r="Y22" s="74">
        <f t="shared" si="2"/>
        <v>0</v>
      </c>
      <c r="Z22" s="75">
        <f t="shared" si="3"/>
        <v>0</v>
      </c>
      <c r="AA22" s="76">
        <f t="shared" si="4"/>
        <v>0</v>
      </c>
      <c r="AB22" s="78">
        <v>0</v>
      </c>
      <c r="AC22" s="77">
        <f t="shared" si="5"/>
        <v>0</v>
      </c>
      <c r="AD22" s="68">
        <f t="shared" si="6"/>
        <v>0</v>
      </c>
      <c r="AE22" s="74">
        <f t="shared" si="7"/>
        <v>0</v>
      </c>
      <c r="AF22" s="75">
        <f t="shared" si="8"/>
        <v>0</v>
      </c>
      <c r="AG22" s="76">
        <f t="shared" si="9"/>
        <v>0</v>
      </c>
      <c r="AH22" s="68">
        <f t="shared" si="10"/>
        <v>0</v>
      </c>
      <c r="AI22" s="73">
        <f t="shared" si="11"/>
        <v>0</v>
      </c>
      <c r="AJ22" s="75">
        <f t="shared" si="12"/>
        <v>0</v>
      </c>
      <c r="AK22" s="76">
        <f t="shared" si="13"/>
        <v>0</v>
      </c>
      <c r="AL22" s="68">
        <f t="shared" si="14"/>
        <v>0</v>
      </c>
      <c r="AM22" s="73">
        <f t="shared" si="15"/>
        <v>0</v>
      </c>
      <c r="AN22" s="75">
        <f t="shared" si="16"/>
        <v>0</v>
      </c>
      <c r="AO22" s="76">
        <f t="shared" si="17"/>
        <v>0</v>
      </c>
      <c r="AP22" s="68">
        <f t="shared" si="18"/>
        <v>0</v>
      </c>
    </row>
    <row r="23" spans="2:49" x14ac:dyDescent="0.35">
      <c r="B23" s="45" t="str">
        <f>IF(J23="","",RANK($J23,$J$9:$J$620,0)+COUNTIF($J$9:J23,$J23)-1)</f>
        <v/>
      </c>
      <c r="C23" s="46"/>
      <c r="D23" s="46"/>
      <c r="E23" s="46"/>
      <c r="F23" s="47" t="str">
        <f t="shared" si="20"/>
        <v>--</v>
      </c>
      <c r="G23" s="48"/>
      <c r="H23" s="46"/>
      <c r="I23" s="49"/>
      <c r="J23" s="50"/>
      <c r="K23" s="51"/>
      <c r="L23" s="52">
        <f t="shared" si="21"/>
        <v>31</v>
      </c>
      <c r="M23" s="52">
        <f t="shared" si="21"/>
        <v>31</v>
      </c>
      <c r="N23" s="53"/>
      <c r="O23" s="54"/>
      <c r="P23" s="55">
        <f t="shared" si="0"/>
        <v>0</v>
      </c>
      <c r="Q23" s="71"/>
      <c r="R23" s="56" t="str">
        <f t="shared" si="22"/>
        <v/>
      </c>
      <c r="S23" s="57" t="str">
        <f t="shared" si="23"/>
        <v/>
      </c>
      <c r="T23" s="58"/>
      <c r="V23" s="60"/>
      <c r="W23" s="72" t="str">
        <f t="shared" si="24"/>
        <v/>
      </c>
      <c r="X23" s="73">
        <f t="shared" si="1"/>
        <v>0</v>
      </c>
      <c r="Y23" s="74">
        <f t="shared" si="2"/>
        <v>0</v>
      </c>
      <c r="Z23" s="75">
        <f t="shared" si="3"/>
        <v>0</v>
      </c>
      <c r="AA23" s="76">
        <f t="shared" si="4"/>
        <v>0</v>
      </c>
      <c r="AB23" s="78">
        <v>0</v>
      </c>
      <c r="AC23" s="77">
        <f t="shared" si="5"/>
        <v>0</v>
      </c>
      <c r="AD23" s="68">
        <f t="shared" si="6"/>
        <v>0</v>
      </c>
      <c r="AE23" s="74">
        <f t="shared" si="7"/>
        <v>0</v>
      </c>
      <c r="AF23" s="75">
        <f t="shared" si="8"/>
        <v>0</v>
      </c>
      <c r="AG23" s="76">
        <f t="shared" si="9"/>
        <v>0</v>
      </c>
      <c r="AH23" s="68">
        <f t="shared" si="10"/>
        <v>0</v>
      </c>
      <c r="AI23" s="73">
        <f t="shared" si="11"/>
        <v>0</v>
      </c>
      <c r="AJ23" s="75">
        <f t="shared" si="12"/>
        <v>0</v>
      </c>
      <c r="AK23" s="76">
        <f t="shared" si="13"/>
        <v>0</v>
      </c>
      <c r="AL23" s="68">
        <f t="shared" si="14"/>
        <v>0</v>
      </c>
      <c r="AM23" s="73">
        <f t="shared" si="15"/>
        <v>0</v>
      </c>
      <c r="AN23" s="75">
        <f t="shared" si="16"/>
        <v>0</v>
      </c>
      <c r="AO23" s="76">
        <f t="shared" si="17"/>
        <v>0</v>
      </c>
      <c r="AP23" s="68">
        <f t="shared" si="18"/>
        <v>0</v>
      </c>
    </row>
    <row r="24" spans="2:49" x14ac:dyDescent="0.35">
      <c r="B24" s="45" t="str">
        <f>IF(J24="","",RANK($J24,$J$9:$J$620,0)+COUNTIF($J$9:J24,$J24)-1)</f>
        <v/>
      </c>
      <c r="C24" s="46"/>
      <c r="D24" s="46"/>
      <c r="E24" s="46"/>
      <c r="F24" s="47" t="str">
        <f t="shared" si="20"/>
        <v>--</v>
      </c>
      <c r="G24" s="48"/>
      <c r="H24" s="46"/>
      <c r="I24" s="49"/>
      <c r="J24" s="50"/>
      <c r="K24" s="51"/>
      <c r="L24" s="52">
        <f t="shared" si="21"/>
        <v>31</v>
      </c>
      <c r="M24" s="52">
        <f t="shared" si="21"/>
        <v>31</v>
      </c>
      <c r="N24" s="53"/>
      <c r="O24" s="54"/>
      <c r="P24" s="55">
        <f t="shared" si="0"/>
        <v>0</v>
      </c>
      <c r="Q24" s="71"/>
      <c r="R24" s="56" t="str">
        <f t="shared" si="22"/>
        <v/>
      </c>
      <c r="S24" s="57" t="str">
        <f t="shared" si="23"/>
        <v/>
      </c>
      <c r="T24" s="58"/>
      <c r="V24" s="60"/>
      <c r="W24" s="72" t="str">
        <f t="shared" si="24"/>
        <v/>
      </c>
      <c r="X24" s="73">
        <f t="shared" si="1"/>
        <v>0</v>
      </c>
      <c r="Y24" s="74">
        <f t="shared" si="2"/>
        <v>0</v>
      </c>
      <c r="Z24" s="75">
        <f t="shared" si="3"/>
        <v>0</v>
      </c>
      <c r="AA24" s="76">
        <f t="shared" si="4"/>
        <v>0</v>
      </c>
      <c r="AB24" s="78">
        <v>0</v>
      </c>
      <c r="AC24" s="77">
        <f t="shared" si="5"/>
        <v>0</v>
      </c>
      <c r="AD24" s="68">
        <f t="shared" si="6"/>
        <v>0</v>
      </c>
      <c r="AE24" s="74">
        <f t="shared" si="7"/>
        <v>0</v>
      </c>
      <c r="AF24" s="75">
        <f t="shared" si="8"/>
        <v>0</v>
      </c>
      <c r="AG24" s="76">
        <f t="shared" si="9"/>
        <v>0</v>
      </c>
      <c r="AH24" s="68">
        <f t="shared" si="10"/>
        <v>0</v>
      </c>
      <c r="AI24" s="73">
        <f t="shared" si="11"/>
        <v>0</v>
      </c>
      <c r="AJ24" s="75">
        <f t="shared" si="12"/>
        <v>0</v>
      </c>
      <c r="AK24" s="76">
        <f t="shared" si="13"/>
        <v>0</v>
      </c>
      <c r="AL24" s="68">
        <f t="shared" si="14"/>
        <v>0</v>
      </c>
      <c r="AM24" s="73">
        <f t="shared" si="15"/>
        <v>0</v>
      </c>
      <c r="AN24" s="75">
        <f t="shared" si="16"/>
        <v>0</v>
      </c>
      <c r="AO24" s="76">
        <f t="shared" si="17"/>
        <v>0</v>
      </c>
      <c r="AP24" s="68">
        <f t="shared" si="18"/>
        <v>0</v>
      </c>
    </row>
    <row r="25" spans="2:49" x14ac:dyDescent="0.35">
      <c r="B25" s="45" t="str">
        <f>IF(J25="","",RANK($J25,$J$9:$J$620,0)+COUNTIF($J$9:J25,$J25)-1)</f>
        <v/>
      </c>
      <c r="C25" s="46"/>
      <c r="D25" s="46"/>
      <c r="E25" s="46"/>
      <c r="F25" s="47" t="str">
        <f t="shared" si="20"/>
        <v>--</v>
      </c>
      <c r="G25" s="48"/>
      <c r="H25" s="46"/>
      <c r="I25" s="49"/>
      <c r="J25" s="50"/>
      <c r="K25" s="51"/>
      <c r="L25" s="52">
        <f t="shared" si="21"/>
        <v>31</v>
      </c>
      <c r="M25" s="52">
        <f t="shared" si="21"/>
        <v>31</v>
      </c>
      <c r="N25" s="53"/>
      <c r="O25" s="54"/>
      <c r="P25" s="55">
        <f t="shared" si="0"/>
        <v>0</v>
      </c>
      <c r="Q25" s="71"/>
      <c r="R25" s="56" t="str">
        <f t="shared" si="22"/>
        <v/>
      </c>
      <c r="S25" s="57" t="str">
        <f t="shared" si="23"/>
        <v/>
      </c>
      <c r="T25" s="58"/>
      <c r="U25" s="14"/>
      <c r="V25" s="60"/>
      <c r="W25" s="72" t="str">
        <f t="shared" si="24"/>
        <v/>
      </c>
      <c r="X25" s="73">
        <f t="shared" si="1"/>
        <v>0</v>
      </c>
      <c r="Y25" s="74">
        <f t="shared" si="2"/>
        <v>0</v>
      </c>
      <c r="Z25" s="75">
        <f t="shared" si="3"/>
        <v>0</v>
      </c>
      <c r="AA25" s="76">
        <f t="shared" si="4"/>
        <v>0</v>
      </c>
      <c r="AB25" s="78">
        <f t="shared" ref="AB25:AB42" si="26">AA25</f>
        <v>0</v>
      </c>
      <c r="AC25" s="77">
        <f t="shared" si="5"/>
        <v>0</v>
      </c>
      <c r="AD25" s="68">
        <f t="shared" si="6"/>
        <v>0</v>
      </c>
      <c r="AE25" s="74">
        <f t="shared" si="7"/>
        <v>0</v>
      </c>
      <c r="AF25" s="75">
        <f t="shared" si="8"/>
        <v>0</v>
      </c>
      <c r="AG25" s="76">
        <f t="shared" si="9"/>
        <v>0</v>
      </c>
      <c r="AH25" s="68">
        <f t="shared" si="10"/>
        <v>0</v>
      </c>
      <c r="AI25" s="73">
        <f t="shared" si="11"/>
        <v>0</v>
      </c>
      <c r="AJ25" s="75">
        <f t="shared" si="12"/>
        <v>0</v>
      </c>
      <c r="AK25" s="76">
        <f t="shared" si="13"/>
        <v>0</v>
      </c>
      <c r="AL25" s="68">
        <f t="shared" si="14"/>
        <v>0</v>
      </c>
      <c r="AM25" s="73">
        <f t="shared" si="15"/>
        <v>0</v>
      </c>
      <c r="AN25" s="75">
        <f t="shared" si="16"/>
        <v>0</v>
      </c>
      <c r="AO25" s="76">
        <f t="shared" si="17"/>
        <v>0</v>
      </c>
      <c r="AP25" s="68">
        <f t="shared" si="18"/>
        <v>0</v>
      </c>
    </row>
    <row r="26" spans="2:49" x14ac:dyDescent="0.35">
      <c r="B26" s="45" t="str">
        <f>IF(J26="","",RANK($J26,$J$9:$J$620,0)+COUNTIF($J$9:J26,$J26)-1)</f>
        <v/>
      </c>
      <c r="C26" s="46"/>
      <c r="D26" s="46"/>
      <c r="E26" s="46"/>
      <c r="F26" s="47" t="str">
        <f t="shared" si="20"/>
        <v>--</v>
      </c>
      <c r="G26" s="48"/>
      <c r="H26" s="46"/>
      <c r="I26" s="49"/>
      <c r="J26" s="50"/>
      <c r="K26" s="51"/>
      <c r="L26" s="52">
        <f t="shared" si="21"/>
        <v>31</v>
      </c>
      <c r="M26" s="52">
        <f t="shared" si="21"/>
        <v>31</v>
      </c>
      <c r="N26" s="53"/>
      <c r="O26" s="54"/>
      <c r="P26" s="55">
        <f t="shared" si="0"/>
        <v>0</v>
      </c>
      <c r="Q26" s="71"/>
      <c r="R26" s="56" t="str">
        <f t="shared" si="22"/>
        <v/>
      </c>
      <c r="S26" s="57" t="str">
        <f t="shared" si="23"/>
        <v/>
      </c>
      <c r="T26" s="58"/>
      <c r="V26" s="60"/>
      <c r="W26" s="72" t="str">
        <f t="shared" si="24"/>
        <v/>
      </c>
      <c r="X26" s="73">
        <f t="shared" si="1"/>
        <v>0</v>
      </c>
      <c r="Y26" s="74">
        <f t="shared" si="2"/>
        <v>0</v>
      </c>
      <c r="Z26" s="75">
        <f t="shared" si="3"/>
        <v>0</v>
      </c>
      <c r="AA26" s="76">
        <f t="shared" si="4"/>
        <v>0</v>
      </c>
      <c r="AB26" s="78">
        <f t="shared" si="26"/>
        <v>0</v>
      </c>
      <c r="AC26" s="77">
        <f t="shared" si="5"/>
        <v>0</v>
      </c>
      <c r="AD26" s="68">
        <f t="shared" si="6"/>
        <v>0</v>
      </c>
      <c r="AE26" s="74">
        <f t="shared" si="7"/>
        <v>0</v>
      </c>
      <c r="AF26" s="75">
        <f t="shared" si="8"/>
        <v>0</v>
      </c>
      <c r="AG26" s="76">
        <f t="shared" si="9"/>
        <v>0</v>
      </c>
      <c r="AH26" s="68">
        <f t="shared" si="10"/>
        <v>0</v>
      </c>
      <c r="AI26" s="73">
        <f t="shared" si="11"/>
        <v>0</v>
      </c>
      <c r="AJ26" s="75">
        <f t="shared" si="12"/>
        <v>0</v>
      </c>
      <c r="AK26" s="76">
        <f t="shared" si="13"/>
        <v>0</v>
      </c>
      <c r="AL26" s="68">
        <f t="shared" si="14"/>
        <v>0</v>
      </c>
      <c r="AM26" s="73">
        <f t="shared" si="15"/>
        <v>0</v>
      </c>
      <c r="AN26" s="75">
        <f t="shared" si="16"/>
        <v>0</v>
      </c>
      <c r="AO26" s="76">
        <f t="shared" si="17"/>
        <v>0</v>
      </c>
      <c r="AP26" s="68">
        <f t="shared" si="18"/>
        <v>0</v>
      </c>
    </row>
    <row r="27" spans="2:49" x14ac:dyDescent="0.35">
      <c r="B27" s="45" t="str">
        <f>IF(J27="","",RANK($J27,$J$9:$J$620,0)+COUNTIF($J$9:J27,$J27)-1)</f>
        <v/>
      </c>
      <c r="C27" s="46"/>
      <c r="D27" s="46"/>
      <c r="E27" s="46"/>
      <c r="F27" s="47" t="str">
        <f t="shared" si="20"/>
        <v>--</v>
      </c>
      <c r="G27" s="48"/>
      <c r="H27" s="46"/>
      <c r="I27" s="49"/>
      <c r="J27" s="50"/>
      <c r="K27" s="51"/>
      <c r="L27" s="52">
        <f t="shared" si="21"/>
        <v>31</v>
      </c>
      <c r="M27" s="52">
        <f t="shared" si="21"/>
        <v>31</v>
      </c>
      <c r="N27" s="53"/>
      <c r="O27" s="54"/>
      <c r="P27" s="55">
        <f t="shared" si="0"/>
        <v>0</v>
      </c>
      <c r="Q27" s="71"/>
      <c r="R27" s="56" t="str">
        <f t="shared" si="22"/>
        <v/>
      </c>
      <c r="S27" s="57" t="str">
        <f t="shared" si="23"/>
        <v/>
      </c>
      <c r="T27" s="58"/>
      <c r="U27" s="88"/>
      <c r="V27" s="60"/>
      <c r="W27" s="72" t="str">
        <f t="shared" si="24"/>
        <v/>
      </c>
      <c r="X27" s="73">
        <f t="shared" si="1"/>
        <v>0</v>
      </c>
      <c r="Y27" s="74">
        <f t="shared" si="2"/>
        <v>0</v>
      </c>
      <c r="Z27" s="75">
        <f t="shared" si="3"/>
        <v>0</v>
      </c>
      <c r="AA27" s="76">
        <f t="shared" si="4"/>
        <v>0</v>
      </c>
      <c r="AB27" s="78">
        <f t="shared" si="26"/>
        <v>0</v>
      </c>
      <c r="AC27" s="77">
        <f t="shared" si="5"/>
        <v>0</v>
      </c>
      <c r="AD27" s="68">
        <f t="shared" si="6"/>
        <v>0</v>
      </c>
      <c r="AE27" s="74">
        <f t="shared" si="7"/>
        <v>0</v>
      </c>
      <c r="AF27" s="75">
        <f t="shared" si="8"/>
        <v>0</v>
      </c>
      <c r="AG27" s="76">
        <f t="shared" si="9"/>
        <v>0</v>
      </c>
      <c r="AH27" s="68">
        <f t="shared" si="10"/>
        <v>0</v>
      </c>
      <c r="AI27" s="73">
        <f t="shared" si="11"/>
        <v>0</v>
      </c>
      <c r="AJ27" s="75">
        <f t="shared" si="12"/>
        <v>0</v>
      </c>
      <c r="AK27" s="76">
        <f t="shared" si="13"/>
        <v>0</v>
      </c>
      <c r="AL27" s="68">
        <f t="shared" si="14"/>
        <v>0</v>
      </c>
      <c r="AM27" s="73">
        <f t="shared" si="15"/>
        <v>0</v>
      </c>
      <c r="AN27" s="75">
        <f t="shared" si="16"/>
        <v>0</v>
      </c>
      <c r="AO27" s="76">
        <f t="shared" si="17"/>
        <v>0</v>
      </c>
      <c r="AP27" s="68">
        <f t="shared" si="18"/>
        <v>0</v>
      </c>
    </row>
    <row r="28" spans="2:49" x14ac:dyDescent="0.35">
      <c r="B28" s="45" t="str">
        <f>IF(J28="","",RANK($J28,$J$9:$J$620,0)+COUNTIF($J$9:J28,$J28)-1)</f>
        <v/>
      </c>
      <c r="C28" s="46"/>
      <c r="D28" s="46"/>
      <c r="E28" s="46"/>
      <c r="F28" s="47" t="str">
        <f t="shared" si="20"/>
        <v>--</v>
      </c>
      <c r="G28" s="48"/>
      <c r="H28" s="46"/>
      <c r="I28" s="49"/>
      <c r="J28" s="50"/>
      <c r="K28" s="51"/>
      <c r="L28" s="52">
        <f t="shared" si="21"/>
        <v>31</v>
      </c>
      <c r="M28" s="52">
        <f t="shared" si="21"/>
        <v>31</v>
      </c>
      <c r="N28" s="53"/>
      <c r="O28" s="54"/>
      <c r="P28" s="55">
        <f t="shared" si="0"/>
        <v>0</v>
      </c>
      <c r="Q28" s="71"/>
      <c r="R28" s="56" t="str">
        <f t="shared" si="22"/>
        <v/>
      </c>
      <c r="S28" s="57" t="str">
        <f t="shared" si="23"/>
        <v/>
      </c>
      <c r="T28" s="58"/>
      <c r="V28" s="60"/>
      <c r="W28" s="72" t="str">
        <f t="shared" si="24"/>
        <v/>
      </c>
      <c r="X28" s="73">
        <f t="shared" si="1"/>
        <v>0</v>
      </c>
      <c r="Y28" s="74">
        <f t="shared" si="2"/>
        <v>0</v>
      </c>
      <c r="Z28" s="75">
        <f t="shared" si="3"/>
        <v>0</v>
      </c>
      <c r="AA28" s="76">
        <f t="shared" si="4"/>
        <v>0</v>
      </c>
      <c r="AB28" s="78">
        <f t="shared" si="26"/>
        <v>0</v>
      </c>
      <c r="AC28" s="77">
        <f t="shared" si="5"/>
        <v>0</v>
      </c>
      <c r="AD28" s="68">
        <f t="shared" si="6"/>
        <v>0</v>
      </c>
      <c r="AE28" s="74">
        <f t="shared" si="7"/>
        <v>0</v>
      </c>
      <c r="AF28" s="75">
        <f t="shared" si="8"/>
        <v>0</v>
      </c>
      <c r="AG28" s="76">
        <f t="shared" si="9"/>
        <v>0</v>
      </c>
      <c r="AH28" s="68">
        <f t="shared" si="10"/>
        <v>0</v>
      </c>
      <c r="AI28" s="73">
        <f t="shared" si="11"/>
        <v>0</v>
      </c>
      <c r="AJ28" s="75">
        <f t="shared" si="12"/>
        <v>0</v>
      </c>
      <c r="AK28" s="76">
        <f t="shared" si="13"/>
        <v>0</v>
      </c>
      <c r="AL28" s="68">
        <f t="shared" si="14"/>
        <v>0</v>
      </c>
      <c r="AM28" s="73">
        <f t="shared" si="15"/>
        <v>0</v>
      </c>
      <c r="AN28" s="75">
        <f t="shared" si="16"/>
        <v>0</v>
      </c>
      <c r="AO28" s="76">
        <f t="shared" si="17"/>
        <v>0</v>
      </c>
      <c r="AP28" s="68">
        <f t="shared" si="18"/>
        <v>0</v>
      </c>
    </row>
    <row r="29" spans="2:49" x14ac:dyDescent="0.35">
      <c r="B29" s="45" t="str">
        <f>IF(J29="","",RANK($J29,$J$9:$J$620,0)+COUNTIF($J$9:J29,$J29)-1)</f>
        <v/>
      </c>
      <c r="C29" s="46"/>
      <c r="D29" s="46"/>
      <c r="E29" s="46"/>
      <c r="F29" s="47" t="str">
        <f t="shared" si="20"/>
        <v>--</v>
      </c>
      <c r="G29" s="48"/>
      <c r="H29" s="46"/>
      <c r="I29" s="49"/>
      <c r="J29" s="50"/>
      <c r="K29" s="51"/>
      <c r="L29" s="52">
        <f t="shared" si="21"/>
        <v>31</v>
      </c>
      <c r="M29" s="52">
        <f t="shared" si="21"/>
        <v>31</v>
      </c>
      <c r="N29" s="53"/>
      <c r="O29" s="54"/>
      <c r="P29" s="55">
        <f t="shared" si="0"/>
        <v>0</v>
      </c>
      <c r="Q29" s="71"/>
      <c r="R29" s="56" t="str">
        <f t="shared" si="22"/>
        <v/>
      </c>
      <c r="S29" s="57" t="str">
        <f t="shared" si="23"/>
        <v/>
      </c>
      <c r="T29" s="58"/>
      <c r="U29" s="88"/>
      <c r="V29" s="60"/>
      <c r="W29" s="72" t="str">
        <f t="shared" si="24"/>
        <v/>
      </c>
      <c r="X29" s="73">
        <f t="shared" si="1"/>
        <v>0</v>
      </c>
      <c r="Y29" s="74">
        <f t="shared" si="2"/>
        <v>0</v>
      </c>
      <c r="Z29" s="75">
        <f t="shared" si="3"/>
        <v>0</v>
      </c>
      <c r="AA29" s="76">
        <f t="shared" si="4"/>
        <v>0</v>
      </c>
      <c r="AB29" s="78">
        <f t="shared" si="26"/>
        <v>0</v>
      </c>
      <c r="AC29" s="77">
        <f t="shared" si="5"/>
        <v>0</v>
      </c>
      <c r="AD29" s="68">
        <f t="shared" si="6"/>
        <v>0</v>
      </c>
      <c r="AE29" s="74">
        <f t="shared" si="7"/>
        <v>0</v>
      </c>
      <c r="AF29" s="75">
        <f t="shared" si="8"/>
        <v>0</v>
      </c>
      <c r="AG29" s="76">
        <f t="shared" si="9"/>
        <v>0</v>
      </c>
      <c r="AH29" s="68">
        <f t="shared" si="10"/>
        <v>0</v>
      </c>
      <c r="AI29" s="73">
        <f t="shared" si="11"/>
        <v>0</v>
      </c>
      <c r="AJ29" s="75">
        <f t="shared" si="12"/>
        <v>0</v>
      </c>
      <c r="AK29" s="76">
        <f t="shared" si="13"/>
        <v>0</v>
      </c>
      <c r="AL29" s="68">
        <f t="shared" si="14"/>
        <v>0</v>
      </c>
      <c r="AM29" s="73">
        <f t="shared" si="15"/>
        <v>0</v>
      </c>
      <c r="AN29" s="75">
        <f t="shared" si="16"/>
        <v>0</v>
      </c>
      <c r="AO29" s="76">
        <f t="shared" si="17"/>
        <v>0</v>
      </c>
      <c r="AP29" s="68">
        <f t="shared" si="18"/>
        <v>0</v>
      </c>
    </row>
    <row r="30" spans="2:49" x14ac:dyDescent="0.35">
      <c r="B30" s="45" t="str">
        <f>IF(J30="","",RANK($J30,$J$9:$J$620,0)+COUNTIF($J$9:J30,$J30)-1)</f>
        <v/>
      </c>
      <c r="C30" s="46"/>
      <c r="D30" s="46"/>
      <c r="E30" s="46"/>
      <c r="F30" s="47" t="str">
        <f t="shared" si="20"/>
        <v>--</v>
      </c>
      <c r="G30" s="48"/>
      <c r="H30" s="46"/>
      <c r="I30" s="49"/>
      <c r="J30" s="50"/>
      <c r="K30" s="51"/>
      <c r="L30" s="52">
        <f t="shared" si="21"/>
        <v>31</v>
      </c>
      <c r="M30" s="52">
        <f t="shared" si="21"/>
        <v>31</v>
      </c>
      <c r="N30" s="53"/>
      <c r="O30" s="54"/>
      <c r="P30" s="55">
        <f t="shared" si="0"/>
        <v>0</v>
      </c>
      <c r="Q30" s="71"/>
      <c r="R30" s="56" t="str">
        <f t="shared" si="22"/>
        <v/>
      </c>
      <c r="S30" s="57" t="str">
        <f t="shared" si="23"/>
        <v/>
      </c>
      <c r="T30" s="58"/>
      <c r="U30" s="88"/>
      <c r="V30" s="60"/>
      <c r="W30" s="72" t="str">
        <f t="shared" si="24"/>
        <v/>
      </c>
      <c r="X30" s="73">
        <f t="shared" si="1"/>
        <v>0</v>
      </c>
      <c r="Y30" s="74">
        <f t="shared" si="2"/>
        <v>0</v>
      </c>
      <c r="Z30" s="75">
        <f t="shared" si="3"/>
        <v>0</v>
      </c>
      <c r="AA30" s="76">
        <f t="shared" si="4"/>
        <v>0</v>
      </c>
      <c r="AB30" s="78">
        <f t="shared" si="26"/>
        <v>0</v>
      </c>
      <c r="AC30" s="77">
        <f t="shared" si="5"/>
        <v>0</v>
      </c>
      <c r="AD30" s="68">
        <f t="shared" si="6"/>
        <v>0</v>
      </c>
      <c r="AE30" s="74">
        <f t="shared" si="7"/>
        <v>0</v>
      </c>
      <c r="AF30" s="75">
        <f t="shared" si="8"/>
        <v>0</v>
      </c>
      <c r="AG30" s="76">
        <f t="shared" si="9"/>
        <v>0</v>
      </c>
      <c r="AH30" s="68">
        <f t="shared" si="10"/>
        <v>0</v>
      </c>
      <c r="AI30" s="73">
        <f t="shared" si="11"/>
        <v>0</v>
      </c>
      <c r="AJ30" s="75">
        <f t="shared" si="12"/>
        <v>0</v>
      </c>
      <c r="AK30" s="76">
        <f t="shared" si="13"/>
        <v>0</v>
      </c>
      <c r="AL30" s="68">
        <f t="shared" si="14"/>
        <v>0</v>
      </c>
      <c r="AM30" s="73">
        <f t="shared" si="15"/>
        <v>0</v>
      </c>
      <c r="AN30" s="75">
        <f t="shared" si="16"/>
        <v>0</v>
      </c>
      <c r="AO30" s="76">
        <f t="shared" si="17"/>
        <v>0</v>
      </c>
      <c r="AP30" s="68">
        <f t="shared" si="18"/>
        <v>0</v>
      </c>
    </row>
    <row r="31" spans="2:49" x14ac:dyDescent="0.35">
      <c r="B31" s="45" t="str">
        <f>IF(J31="","",RANK($J31,$J$9:$J$620,0)+COUNTIF($J$9:J31,$J31)-1)</f>
        <v/>
      </c>
      <c r="C31" s="46"/>
      <c r="D31" s="46"/>
      <c r="E31" s="46"/>
      <c r="F31" s="47" t="str">
        <f t="shared" si="20"/>
        <v>--</v>
      </c>
      <c r="G31" s="48"/>
      <c r="H31" s="46"/>
      <c r="I31" s="49"/>
      <c r="J31" s="50"/>
      <c r="K31" s="51"/>
      <c r="L31" s="52">
        <f t="shared" si="21"/>
        <v>31</v>
      </c>
      <c r="M31" s="52">
        <f t="shared" si="21"/>
        <v>31</v>
      </c>
      <c r="N31" s="53"/>
      <c r="O31" s="54"/>
      <c r="P31" s="55">
        <f t="shared" si="0"/>
        <v>0</v>
      </c>
      <c r="Q31" s="71"/>
      <c r="R31" s="56" t="str">
        <f t="shared" si="22"/>
        <v/>
      </c>
      <c r="S31" s="57" t="str">
        <f t="shared" si="23"/>
        <v/>
      </c>
      <c r="T31" s="58"/>
      <c r="V31" s="60"/>
      <c r="W31" s="72" t="str">
        <f t="shared" si="24"/>
        <v/>
      </c>
      <c r="X31" s="73">
        <f t="shared" si="1"/>
        <v>0</v>
      </c>
      <c r="Y31" s="74">
        <f t="shared" si="2"/>
        <v>0</v>
      </c>
      <c r="Z31" s="75">
        <f t="shared" si="3"/>
        <v>0</v>
      </c>
      <c r="AA31" s="76">
        <f t="shared" si="4"/>
        <v>0</v>
      </c>
      <c r="AB31" s="78">
        <f t="shared" si="26"/>
        <v>0</v>
      </c>
      <c r="AC31" s="77">
        <f t="shared" si="5"/>
        <v>0</v>
      </c>
      <c r="AD31" s="68">
        <f t="shared" si="6"/>
        <v>0</v>
      </c>
      <c r="AE31" s="74">
        <f t="shared" si="7"/>
        <v>0</v>
      </c>
      <c r="AF31" s="75">
        <f t="shared" si="8"/>
        <v>0</v>
      </c>
      <c r="AG31" s="76">
        <f t="shared" si="9"/>
        <v>0</v>
      </c>
      <c r="AH31" s="68">
        <f t="shared" si="10"/>
        <v>0</v>
      </c>
      <c r="AI31" s="73">
        <f t="shared" si="11"/>
        <v>0</v>
      </c>
      <c r="AJ31" s="75">
        <f t="shared" si="12"/>
        <v>0</v>
      </c>
      <c r="AK31" s="76">
        <f t="shared" si="13"/>
        <v>0</v>
      </c>
      <c r="AL31" s="68">
        <f t="shared" si="14"/>
        <v>0</v>
      </c>
      <c r="AM31" s="73">
        <f t="shared" si="15"/>
        <v>0</v>
      </c>
      <c r="AN31" s="75">
        <f t="shared" si="16"/>
        <v>0</v>
      </c>
      <c r="AO31" s="76">
        <f t="shared" si="17"/>
        <v>0</v>
      </c>
      <c r="AP31" s="68">
        <f t="shared" si="18"/>
        <v>0</v>
      </c>
    </row>
    <row r="32" spans="2:49" x14ac:dyDescent="0.35">
      <c r="B32" s="45" t="str">
        <f>IF(J32="","",RANK($J32,$J$9:$J$620,0)+COUNTIF($J$9:J32,$J32)-1)</f>
        <v/>
      </c>
      <c r="C32" s="46"/>
      <c r="D32" s="46"/>
      <c r="E32" s="46"/>
      <c r="F32" s="47" t="str">
        <f t="shared" si="20"/>
        <v>--</v>
      </c>
      <c r="G32" s="48"/>
      <c r="H32" s="46"/>
      <c r="I32" s="49"/>
      <c r="J32" s="50"/>
      <c r="K32" s="51"/>
      <c r="L32" s="52">
        <f t="shared" si="21"/>
        <v>31</v>
      </c>
      <c r="M32" s="52">
        <f t="shared" si="21"/>
        <v>31</v>
      </c>
      <c r="N32" s="53"/>
      <c r="O32" s="54"/>
      <c r="P32" s="55">
        <f t="shared" si="0"/>
        <v>0</v>
      </c>
      <c r="Q32" s="71"/>
      <c r="R32" s="56" t="str">
        <f t="shared" si="22"/>
        <v/>
      </c>
      <c r="S32" s="57" t="str">
        <f t="shared" si="23"/>
        <v/>
      </c>
      <c r="T32" s="58"/>
      <c r="V32" s="60"/>
      <c r="W32" s="72" t="str">
        <f t="shared" si="24"/>
        <v/>
      </c>
      <c r="X32" s="73">
        <f t="shared" si="1"/>
        <v>0</v>
      </c>
      <c r="Y32" s="74">
        <f t="shared" si="2"/>
        <v>0</v>
      </c>
      <c r="Z32" s="75">
        <f t="shared" si="3"/>
        <v>0</v>
      </c>
      <c r="AA32" s="76">
        <f t="shared" si="4"/>
        <v>0</v>
      </c>
      <c r="AB32" s="78">
        <f t="shared" si="26"/>
        <v>0</v>
      </c>
      <c r="AC32" s="77">
        <f t="shared" si="5"/>
        <v>0</v>
      </c>
      <c r="AD32" s="68">
        <f t="shared" si="6"/>
        <v>0</v>
      </c>
      <c r="AE32" s="74">
        <f t="shared" si="7"/>
        <v>0</v>
      </c>
      <c r="AF32" s="75">
        <f t="shared" si="8"/>
        <v>0</v>
      </c>
      <c r="AG32" s="76">
        <f t="shared" si="9"/>
        <v>0</v>
      </c>
      <c r="AH32" s="68">
        <f t="shared" si="10"/>
        <v>0</v>
      </c>
      <c r="AI32" s="73">
        <f t="shared" si="11"/>
        <v>0</v>
      </c>
      <c r="AJ32" s="75">
        <f t="shared" si="12"/>
        <v>0</v>
      </c>
      <c r="AK32" s="76">
        <f t="shared" si="13"/>
        <v>0</v>
      </c>
      <c r="AL32" s="68">
        <f t="shared" si="14"/>
        <v>0</v>
      </c>
      <c r="AM32" s="73">
        <f t="shared" si="15"/>
        <v>0</v>
      </c>
      <c r="AN32" s="75">
        <f t="shared" si="16"/>
        <v>0</v>
      </c>
      <c r="AO32" s="76">
        <f t="shared" si="17"/>
        <v>0</v>
      </c>
      <c r="AP32" s="68">
        <f t="shared" si="18"/>
        <v>0</v>
      </c>
    </row>
    <row r="33" spans="2:42" x14ac:dyDescent="0.35">
      <c r="B33" s="45" t="str">
        <f>IF(J33="","",RANK($J33,$J$9:$J$620,0)+COUNTIF($J$9:J33,$J33)-1)</f>
        <v/>
      </c>
      <c r="C33" s="46"/>
      <c r="D33" s="46"/>
      <c r="E33" s="46"/>
      <c r="F33" s="47" t="str">
        <f t="shared" si="20"/>
        <v>--</v>
      </c>
      <c r="G33" s="48"/>
      <c r="H33" s="46"/>
      <c r="I33" s="49"/>
      <c r="J33" s="50"/>
      <c r="K33" s="51"/>
      <c r="L33" s="52">
        <f t="shared" si="21"/>
        <v>31</v>
      </c>
      <c r="M33" s="52">
        <f t="shared" si="21"/>
        <v>31</v>
      </c>
      <c r="N33" s="53"/>
      <c r="O33" s="54"/>
      <c r="P33" s="55">
        <f t="shared" si="0"/>
        <v>0</v>
      </c>
      <c r="Q33" s="71"/>
      <c r="R33" s="56" t="str">
        <f t="shared" si="22"/>
        <v/>
      </c>
      <c r="S33" s="57" t="str">
        <f t="shared" si="23"/>
        <v/>
      </c>
      <c r="T33" s="58"/>
      <c r="V33" s="60"/>
      <c r="W33" s="72" t="str">
        <f t="shared" si="24"/>
        <v/>
      </c>
      <c r="X33" s="73">
        <f t="shared" si="1"/>
        <v>0</v>
      </c>
      <c r="Y33" s="74">
        <f t="shared" si="2"/>
        <v>0</v>
      </c>
      <c r="Z33" s="75">
        <f t="shared" si="3"/>
        <v>0</v>
      </c>
      <c r="AA33" s="76">
        <f t="shared" si="4"/>
        <v>0</v>
      </c>
      <c r="AB33" s="78">
        <f t="shared" si="26"/>
        <v>0</v>
      </c>
      <c r="AC33" s="77">
        <f t="shared" si="5"/>
        <v>0</v>
      </c>
      <c r="AD33" s="68">
        <f t="shared" si="6"/>
        <v>0</v>
      </c>
      <c r="AE33" s="74">
        <f t="shared" si="7"/>
        <v>0</v>
      </c>
      <c r="AF33" s="75">
        <f t="shared" si="8"/>
        <v>0</v>
      </c>
      <c r="AG33" s="76">
        <f t="shared" si="9"/>
        <v>0</v>
      </c>
      <c r="AH33" s="68">
        <f t="shared" si="10"/>
        <v>0</v>
      </c>
      <c r="AI33" s="73">
        <f t="shared" si="11"/>
        <v>0</v>
      </c>
      <c r="AJ33" s="75">
        <f t="shared" si="12"/>
        <v>0</v>
      </c>
      <c r="AK33" s="76">
        <f t="shared" si="13"/>
        <v>0</v>
      </c>
      <c r="AL33" s="68">
        <f t="shared" si="14"/>
        <v>0</v>
      </c>
      <c r="AM33" s="73">
        <f t="shared" si="15"/>
        <v>0</v>
      </c>
      <c r="AN33" s="75">
        <f t="shared" si="16"/>
        <v>0</v>
      </c>
      <c r="AO33" s="76">
        <f t="shared" si="17"/>
        <v>0</v>
      </c>
      <c r="AP33" s="68">
        <f t="shared" si="18"/>
        <v>0</v>
      </c>
    </row>
    <row r="34" spans="2:42" x14ac:dyDescent="0.35">
      <c r="B34" s="45" t="str">
        <f>IF(J34="","",RANK($J34,$J$9:$J$620,0)+COUNTIF($J$9:J34,$J34)-1)</f>
        <v/>
      </c>
      <c r="C34" s="46"/>
      <c r="D34" s="46"/>
      <c r="E34" s="46"/>
      <c r="F34" s="47" t="str">
        <f t="shared" si="20"/>
        <v>--</v>
      </c>
      <c r="G34" s="48"/>
      <c r="H34" s="46"/>
      <c r="I34" s="49"/>
      <c r="J34" s="50"/>
      <c r="K34" s="51"/>
      <c r="L34" s="52">
        <f t="shared" si="21"/>
        <v>31</v>
      </c>
      <c r="M34" s="52">
        <f t="shared" si="21"/>
        <v>31</v>
      </c>
      <c r="N34" s="53"/>
      <c r="O34" s="54"/>
      <c r="P34" s="55">
        <f t="shared" si="0"/>
        <v>0</v>
      </c>
      <c r="Q34" s="71"/>
      <c r="R34" s="56" t="str">
        <f t="shared" si="22"/>
        <v/>
      </c>
      <c r="S34" s="57" t="str">
        <f t="shared" si="23"/>
        <v/>
      </c>
      <c r="T34" s="58"/>
      <c r="V34" s="60"/>
      <c r="W34" s="72" t="str">
        <f t="shared" si="24"/>
        <v/>
      </c>
      <c r="X34" s="73">
        <f t="shared" si="1"/>
        <v>0</v>
      </c>
      <c r="Y34" s="74">
        <f t="shared" si="2"/>
        <v>0</v>
      </c>
      <c r="Z34" s="75">
        <f t="shared" si="3"/>
        <v>0</v>
      </c>
      <c r="AA34" s="76">
        <f t="shared" si="4"/>
        <v>0</v>
      </c>
      <c r="AB34" s="78">
        <f t="shared" si="26"/>
        <v>0</v>
      </c>
      <c r="AC34" s="77">
        <f t="shared" si="5"/>
        <v>0</v>
      </c>
      <c r="AD34" s="68">
        <f t="shared" si="6"/>
        <v>0</v>
      </c>
      <c r="AE34" s="74">
        <f t="shared" si="7"/>
        <v>0</v>
      </c>
      <c r="AF34" s="75">
        <f t="shared" si="8"/>
        <v>0</v>
      </c>
      <c r="AG34" s="76">
        <f t="shared" si="9"/>
        <v>0</v>
      </c>
      <c r="AH34" s="68">
        <f t="shared" si="10"/>
        <v>0</v>
      </c>
      <c r="AI34" s="73">
        <f t="shared" si="11"/>
        <v>0</v>
      </c>
      <c r="AJ34" s="75">
        <f t="shared" si="12"/>
        <v>0</v>
      </c>
      <c r="AK34" s="76">
        <f t="shared" si="13"/>
        <v>0</v>
      </c>
      <c r="AL34" s="68">
        <f t="shared" si="14"/>
        <v>0</v>
      </c>
      <c r="AM34" s="73">
        <f t="shared" si="15"/>
        <v>0</v>
      </c>
      <c r="AN34" s="75">
        <f t="shared" si="16"/>
        <v>0</v>
      </c>
      <c r="AO34" s="76">
        <f t="shared" si="17"/>
        <v>0</v>
      </c>
      <c r="AP34" s="68">
        <f t="shared" si="18"/>
        <v>0</v>
      </c>
    </row>
    <row r="35" spans="2:42" x14ac:dyDescent="0.35">
      <c r="B35" s="45" t="str">
        <f>IF(J35="","",RANK($J35,$J$9:$J$620,0)+COUNTIF($J$9:J35,$J35)-1)</f>
        <v/>
      </c>
      <c r="C35" s="46"/>
      <c r="D35" s="46"/>
      <c r="E35" s="46"/>
      <c r="F35" s="47" t="str">
        <f t="shared" si="20"/>
        <v>--</v>
      </c>
      <c r="G35" s="48"/>
      <c r="H35" s="46"/>
      <c r="I35" s="49"/>
      <c r="J35" s="50"/>
      <c r="K35" s="51"/>
      <c r="L35" s="52">
        <f t="shared" si="21"/>
        <v>31</v>
      </c>
      <c r="M35" s="52">
        <f t="shared" si="21"/>
        <v>31</v>
      </c>
      <c r="N35" s="53"/>
      <c r="O35" s="54"/>
      <c r="P35" s="55">
        <f t="shared" si="0"/>
        <v>0</v>
      </c>
      <c r="Q35" s="71"/>
      <c r="R35" s="56" t="str">
        <f t="shared" si="22"/>
        <v/>
      </c>
      <c r="S35" s="57" t="str">
        <f t="shared" si="23"/>
        <v/>
      </c>
      <c r="T35" s="58"/>
      <c r="V35" s="60"/>
      <c r="W35" s="72" t="str">
        <f t="shared" si="24"/>
        <v/>
      </c>
      <c r="X35" s="73">
        <f t="shared" si="1"/>
        <v>0</v>
      </c>
      <c r="Y35" s="74">
        <f t="shared" si="2"/>
        <v>0</v>
      </c>
      <c r="Z35" s="75">
        <f t="shared" si="3"/>
        <v>0</v>
      </c>
      <c r="AA35" s="76">
        <f t="shared" si="4"/>
        <v>0</v>
      </c>
      <c r="AB35" s="78">
        <f t="shared" si="26"/>
        <v>0</v>
      </c>
      <c r="AC35" s="77">
        <f t="shared" si="5"/>
        <v>0</v>
      </c>
      <c r="AD35" s="68">
        <f t="shared" si="6"/>
        <v>0</v>
      </c>
      <c r="AE35" s="74">
        <f t="shared" si="7"/>
        <v>0</v>
      </c>
      <c r="AF35" s="75">
        <f t="shared" si="8"/>
        <v>0</v>
      </c>
      <c r="AG35" s="76">
        <f t="shared" si="9"/>
        <v>0</v>
      </c>
      <c r="AH35" s="68">
        <f t="shared" si="10"/>
        <v>0</v>
      </c>
      <c r="AI35" s="73">
        <f t="shared" si="11"/>
        <v>0</v>
      </c>
      <c r="AJ35" s="75">
        <f t="shared" si="12"/>
        <v>0</v>
      </c>
      <c r="AK35" s="76">
        <f t="shared" si="13"/>
        <v>0</v>
      </c>
      <c r="AL35" s="68">
        <f t="shared" si="14"/>
        <v>0</v>
      </c>
      <c r="AM35" s="73">
        <f t="shared" si="15"/>
        <v>0</v>
      </c>
      <c r="AN35" s="75">
        <f t="shared" si="16"/>
        <v>0</v>
      </c>
      <c r="AO35" s="76">
        <f t="shared" si="17"/>
        <v>0</v>
      </c>
      <c r="AP35" s="68">
        <f t="shared" si="18"/>
        <v>0</v>
      </c>
    </row>
    <row r="36" spans="2:42" x14ac:dyDescent="0.35">
      <c r="B36" s="45" t="str">
        <f>IF(J36="","",RANK($J36,$J$9:$J$620,0)+COUNTIF($J$9:J36,$J36)-1)</f>
        <v/>
      </c>
      <c r="C36" s="46"/>
      <c r="D36" s="46"/>
      <c r="E36" s="46"/>
      <c r="F36" s="47" t="str">
        <f t="shared" si="20"/>
        <v>--</v>
      </c>
      <c r="G36" s="48"/>
      <c r="H36" s="46"/>
      <c r="I36" s="49"/>
      <c r="J36" s="50"/>
      <c r="K36" s="51"/>
      <c r="L36" s="52">
        <f t="shared" si="21"/>
        <v>31</v>
      </c>
      <c r="M36" s="52">
        <f t="shared" si="21"/>
        <v>31</v>
      </c>
      <c r="N36" s="53"/>
      <c r="O36" s="54"/>
      <c r="P36" s="55">
        <f t="shared" si="0"/>
        <v>0</v>
      </c>
      <c r="Q36" s="71"/>
      <c r="R36" s="56" t="str">
        <f t="shared" si="22"/>
        <v/>
      </c>
      <c r="S36" s="57" t="str">
        <f t="shared" si="23"/>
        <v/>
      </c>
      <c r="T36" s="58"/>
      <c r="V36" s="60"/>
      <c r="W36" s="72" t="str">
        <f t="shared" si="24"/>
        <v/>
      </c>
      <c r="X36" s="73">
        <f t="shared" si="1"/>
        <v>0</v>
      </c>
      <c r="Y36" s="74">
        <f t="shared" si="2"/>
        <v>0</v>
      </c>
      <c r="Z36" s="75">
        <f t="shared" si="3"/>
        <v>0</v>
      </c>
      <c r="AA36" s="76">
        <f t="shared" si="4"/>
        <v>0</v>
      </c>
      <c r="AB36" s="78">
        <f t="shared" si="26"/>
        <v>0</v>
      </c>
      <c r="AC36" s="77">
        <f t="shared" si="5"/>
        <v>0</v>
      </c>
      <c r="AD36" s="68">
        <f t="shared" si="6"/>
        <v>0</v>
      </c>
      <c r="AE36" s="74">
        <f t="shared" si="7"/>
        <v>0</v>
      </c>
      <c r="AF36" s="75">
        <f t="shared" si="8"/>
        <v>0</v>
      </c>
      <c r="AG36" s="76">
        <f t="shared" si="9"/>
        <v>0</v>
      </c>
      <c r="AH36" s="68">
        <f t="shared" si="10"/>
        <v>0</v>
      </c>
      <c r="AI36" s="73">
        <f t="shared" si="11"/>
        <v>0</v>
      </c>
      <c r="AJ36" s="75">
        <f t="shared" si="12"/>
        <v>0</v>
      </c>
      <c r="AK36" s="76">
        <f t="shared" si="13"/>
        <v>0</v>
      </c>
      <c r="AL36" s="68">
        <f t="shared" si="14"/>
        <v>0</v>
      </c>
      <c r="AM36" s="73">
        <f t="shared" si="15"/>
        <v>0</v>
      </c>
      <c r="AN36" s="75">
        <f t="shared" si="16"/>
        <v>0</v>
      </c>
      <c r="AO36" s="76">
        <f t="shared" si="17"/>
        <v>0</v>
      </c>
      <c r="AP36" s="68">
        <f t="shared" si="18"/>
        <v>0</v>
      </c>
    </row>
    <row r="37" spans="2:42" x14ac:dyDescent="0.35">
      <c r="B37" s="45" t="str">
        <f>IF(J37="","",RANK($J37,$J$9:$J$620,0)+COUNTIF($J$9:J37,$J37)-1)</f>
        <v/>
      </c>
      <c r="C37" s="46"/>
      <c r="D37" s="46"/>
      <c r="E37" s="46"/>
      <c r="F37" s="47" t="str">
        <f t="shared" si="20"/>
        <v>--</v>
      </c>
      <c r="G37" s="48"/>
      <c r="H37" s="46"/>
      <c r="I37" s="49"/>
      <c r="J37" s="50"/>
      <c r="K37" s="51"/>
      <c r="L37" s="52">
        <f t="shared" si="21"/>
        <v>31</v>
      </c>
      <c r="M37" s="52">
        <f t="shared" si="21"/>
        <v>31</v>
      </c>
      <c r="N37" s="53"/>
      <c r="O37" s="54"/>
      <c r="P37" s="55">
        <f t="shared" si="0"/>
        <v>0</v>
      </c>
      <c r="Q37" s="71"/>
      <c r="R37" s="56" t="str">
        <f t="shared" si="22"/>
        <v/>
      </c>
      <c r="S37" s="57" t="str">
        <f t="shared" si="23"/>
        <v/>
      </c>
      <c r="T37" s="58"/>
      <c r="V37" s="60"/>
      <c r="W37" s="72" t="str">
        <f t="shared" si="24"/>
        <v/>
      </c>
      <c r="X37" s="73">
        <f t="shared" si="1"/>
        <v>0</v>
      </c>
      <c r="Y37" s="74">
        <f t="shared" si="2"/>
        <v>0</v>
      </c>
      <c r="Z37" s="75">
        <f t="shared" si="3"/>
        <v>0</v>
      </c>
      <c r="AA37" s="76">
        <f t="shared" si="4"/>
        <v>0</v>
      </c>
      <c r="AB37" s="78">
        <f t="shared" si="26"/>
        <v>0</v>
      </c>
      <c r="AC37" s="77">
        <f t="shared" si="5"/>
        <v>0</v>
      </c>
      <c r="AD37" s="68">
        <f t="shared" si="6"/>
        <v>0</v>
      </c>
      <c r="AE37" s="74">
        <f t="shared" si="7"/>
        <v>0</v>
      </c>
      <c r="AF37" s="75">
        <f t="shared" si="8"/>
        <v>0</v>
      </c>
      <c r="AG37" s="76">
        <f t="shared" si="9"/>
        <v>0</v>
      </c>
      <c r="AH37" s="68">
        <f t="shared" si="10"/>
        <v>0</v>
      </c>
      <c r="AI37" s="73">
        <f t="shared" si="11"/>
        <v>0</v>
      </c>
      <c r="AJ37" s="75">
        <f t="shared" si="12"/>
        <v>0</v>
      </c>
      <c r="AK37" s="76">
        <f t="shared" si="13"/>
        <v>0</v>
      </c>
      <c r="AL37" s="68">
        <f t="shared" si="14"/>
        <v>0</v>
      </c>
      <c r="AM37" s="73">
        <f t="shared" si="15"/>
        <v>0</v>
      </c>
      <c r="AN37" s="75">
        <f t="shared" si="16"/>
        <v>0</v>
      </c>
      <c r="AO37" s="76">
        <f t="shared" si="17"/>
        <v>0</v>
      </c>
      <c r="AP37" s="68">
        <f t="shared" si="18"/>
        <v>0</v>
      </c>
    </row>
    <row r="38" spans="2:42" x14ac:dyDescent="0.35">
      <c r="B38" s="45" t="str">
        <f>IF(J38="","",RANK($J38,$J$9:$J$620,0)+COUNTIF($J$9:J38,$J38)-1)</f>
        <v/>
      </c>
      <c r="C38" s="46"/>
      <c r="D38" s="46"/>
      <c r="E38" s="46"/>
      <c r="F38" s="47" t="str">
        <f t="shared" si="20"/>
        <v>--</v>
      </c>
      <c r="G38" s="48"/>
      <c r="H38" s="46"/>
      <c r="I38" s="49"/>
      <c r="J38" s="50"/>
      <c r="K38" s="51"/>
      <c r="L38" s="52">
        <f t="shared" si="21"/>
        <v>31</v>
      </c>
      <c r="M38" s="52">
        <f t="shared" si="21"/>
        <v>31</v>
      </c>
      <c r="N38" s="53"/>
      <c r="O38" s="54"/>
      <c r="P38" s="55">
        <f t="shared" si="0"/>
        <v>0</v>
      </c>
      <c r="Q38" s="71"/>
      <c r="R38" s="56" t="str">
        <f t="shared" si="22"/>
        <v/>
      </c>
      <c r="S38" s="57" t="str">
        <f t="shared" si="23"/>
        <v/>
      </c>
      <c r="T38" s="58"/>
      <c r="V38" s="60"/>
      <c r="W38" s="72" t="str">
        <f t="shared" si="24"/>
        <v/>
      </c>
      <c r="X38" s="73">
        <f t="shared" si="1"/>
        <v>0</v>
      </c>
      <c r="Y38" s="74">
        <f t="shared" si="2"/>
        <v>0</v>
      </c>
      <c r="Z38" s="75">
        <f t="shared" si="3"/>
        <v>0</v>
      </c>
      <c r="AA38" s="76">
        <f t="shared" si="4"/>
        <v>0</v>
      </c>
      <c r="AB38" s="78">
        <f t="shared" si="26"/>
        <v>0</v>
      </c>
      <c r="AC38" s="77">
        <f t="shared" si="5"/>
        <v>0</v>
      </c>
      <c r="AD38" s="68">
        <f t="shared" si="6"/>
        <v>0</v>
      </c>
      <c r="AE38" s="74">
        <f t="shared" si="7"/>
        <v>0</v>
      </c>
      <c r="AF38" s="75">
        <f t="shared" si="8"/>
        <v>0</v>
      </c>
      <c r="AG38" s="76">
        <f t="shared" si="9"/>
        <v>0</v>
      </c>
      <c r="AH38" s="68">
        <f t="shared" si="10"/>
        <v>0</v>
      </c>
      <c r="AI38" s="73">
        <f t="shared" si="11"/>
        <v>0</v>
      </c>
      <c r="AJ38" s="75">
        <f t="shared" si="12"/>
        <v>0</v>
      </c>
      <c r="AK38" s="76">
        <f t="shared" si="13"/>
        <v>0</v>
      </c>
      <c r="AL38" s="68">
        <f t="shared" si="14"/>
        <v>0</v>
      </c>
      <c r="AM38" s="73">
        <f t="shared" si="15"/>
        <v>0</v>
      </c>
      <c r="AN38" s="75">
        <f t="shared" si="16"/>
        <v>0</v>
      </c>
      <c r="AO38" s="76">
        <f t="shared" si="17"/>
        <v>0</v>
      </c>
      <c r="AP38" s="68">
        <f t="shared" si="18"/>
        <v>0</v>
      </c>
    </row>
    <row r="39" spans="2:42" x14ac:dyDescent="0.35">
      <c r="B39" s="45" t="str">
        <f>IF(J39="","",RANK($J39,$J$9:$J$620,0)+COUNTIF($J$9:J39,$J39)-1)</f>
        <v/>
      </c>
      <c r="C39" s="46"/>
      <c r="D39" s="46"/>
      <c r="E39" s="46"/>
      <c r="F39" s="47" t="str">
        <f t="shared" si="20"/>
        <v>--</v>
      </c>
      <c r="G39" s="48"/>
      <c r="H39" s="46"/>
      <c r="I39" s="49"/>
      <c r="J39" s="50"/>
      <c r="K39" s="51"/>
      <c r="L39" s="52">
        <f t="shared" si="21"/>
        <v>31</v>
      </c>
      <c r="M39" s="52">
        <f t="shared" si="21"/>
        <v>31</v>
      </c>
      <c r="N39" s="53"/>
      <c r="O39" s="54"/>
      <c r="P39" s="55">
        <f t="shared" si="0"/>
        <v>0</v>
      </c>
      <c r="Q39" s="71"/>
      <c r="R39" s="56" t="str">
        <f t="shared" si="22"/>
        <v/>
      </c>
      <c r="S39" s="57" t="str">
        <f t="shared" si="23"/>
        <v/>
      </c>
      <c r="T39" s="58"/>
      <c r="V39" s="60"/>
      <c r="W39" s="72" t="str">
        <f t="shared" si="24"/>
        <v/>
      </c>
      <c r="X39" s="73">
        <f t="shared" si="1"/>
        <v>0</v>
      </c>
      <c r="Y39" s="74">
        <f t="shared" si="2"/>
        <v>0</v>
      </c>
      <c r="Z39" s="75">
        <f t="shared" si="3"/>
        <v>0</v>
      </c>
      <c r="AA39" s="76">
        <f t="shared" si="4"/>
        <v>0</v>
      </c>
      <c r="AB39" s="78">
        <f t="shared" si="26"/>
        <v>0</v>
      </c>
      <c r="AC39" s="77">
        <f t="shared" si="5"/>
        <v>0</v>
      </c>
      <c r="AD39" s="68">
        <f t="shared" si="6"/>
        <v>0</v>
      </c>
      <c r="AE39" s="74">
        <f t="shared" si="7"/>
        <v>0</v>
      </c>
      <c r="AF39" s="75">
        <f t="shared" si="8"/>
        <v>0</v>
      </c>
      <c r="AG39" s="76">
        <f t="shared" si="9"/>
        <v>0</v>
      </c>
      <c r="AH39" s="68">
        <f t="shared" si="10"/>
        <v>0</v>
      </c>
      <c r="AI39" s="73">
        <f t="shared" si="11"/>
        <v>0</v>
      </c>
      <c r="AJ39" s="75">
        <f t="shared" si="12"/>
        <v>0</v>
      </c>
      <c r="AK39" s="76">
        <f t="shared" si="13"/>
        <v>0</v>
      </c>
      <c r="AL39" s="68">
        <f t="shared" si="14"/>
        <v>0</v>
      </c>
      <c r="AM39" s="73">
        <f t="shared" si="15"/>
        <v>0</v>
      </c>
      <c r="AN39" s="75">
        <f t="shared" si="16"/>
        <v>0</v>
      </c>
      <c r="AO39" s="76">
        <f t="shared" si="17"/>
        <v>0</v>
      </c>
      <c r="AP39" s="68">
        <f t="shared" si="18"/>
        <v>0</v>
      </c>
    </row>
    <row r="40" spans="2:42" x14ac:dyDescent="0.35">
      <c r="B40" s="45" t="str">
        <f>IF(J40="","",RANK($J40,$J$9:$J$620,0)+COUNTIF($J$9:J40,$J40)-1)</f>
        <v/>
      </c>
      <c r="C40" s="46"/>
      <c r="D40" s="46"/>
      <c r="E40" s="46"/>
      <c r="F40" s="47" t="str">
        <f t="shared" si="20"/>
        <v>--</v>
      </c>
      <c r="G40" s="48"/>
      <c r="H40" s="46"/>
      <c r="I40" s="49"/>
      <c r="J40" s="50"/>
      <c r="K40" s="51"/>
      <c r="L40" s="52">
        <f t="shared" si="21"/>
        <v>31</v>
      </c>
      <c r="M40" s="52">
        <f t="shared" si="21"/>
        <v>31</v>
      </c>
      <c r="N40" s="53"/>
      <c r="O40" s="54"/>
      <c r="P40" s="55">
        <f t="shared" si="0"/>
        <v>0</v>
      </c>
      <c r="Q40" s="71"/>
      <c r="R40" s="56" t="str">
        <f t="shared" si="22"/>
        <v/>
      </c>
      <c r="S40" s="57" t="str">
        <f t="shared" si="23"/>
        <v/>
      </c>
      <c r="T40" s="58"/>
      <c r="V40" s="60"/>
      <c r="W40" s="72" t="str">
        <f t="shared" si="24"/>
        <v/>
      </c>
      <c r="X40" s="73">
        <f t="shared" si="1"/>
        <v>0</v>
      </c>
      <c r="Y40" s="74">
        <f t="shared" si="2"/>
        <v>0</v>
      </c>
      <c r="Z40" s="75">
        <f t="shared" si="3"/>
        <v>0</v>
      </c>
      <c r="AA40" s="76">
        <f t="shared" si="4"/>
        <v>0</v>
      </c>
      <c r="AB40" s="78">
        <f t="shared" si="26"/>
        <v>0</v>
      </c>
      <c r="AC40" s="77">
        <f t="shared" si="5"/>
        <v>0</v>
      </c>
      <c r="AD40" s="68">
        <f t="shared" si="6"/>
        <v>0</v>
      </c>
      <c r="AE40" s="74">
        <f t="shared" si="7"/>
        <v>0</v>
      </c>
      <c r="AF40" s="75">
        <f t="shared" si="8"/>
        <v>0</v>
      </c>
      <c r="AG40" s="76">
        <f t="shared" si="9"/>
        <v>0</v>
      </c>
      <c r="AH40" s="68">
        <f t="shared" si="10"/>
        <v>0</v>
      </c>
      <c r="AI40" s="73">
        <f t="shared" si="11"/>
        <v>0</v>
      </c>
      <c r="AJ40" s="75">
        <f t="shared" si="12"/>
        <v>0</v>
      </c>
      <c r="AK40" s="76">
        <f t="shared" si="13"/>
        <v>0</v>
      </c>
      <c r="AL40" s="68">
        <f t="shared" si="14"/>
        <v>0</v>
      </c>
      <c r="AM40" s="73">
        <f t="shared" si="15"/>
        <v>0</v>
      </c>
      <c r="AN40" s="75">
        <f t="shared" si="16"/>
        <v>0</v>
      </c>
      <c r="AO40" s="76">
        <f t="shared" si="17"/>
        <v>0</v>
      </c>
      <c r="AP40" s="68">
        <f t="shared" si="18"/>
        <v>0</v>
      </c>
    </row>
    <row r="41" spans="2:42" x14ac:dyDescent="0.35">
      <c r="B41" s="45" t="str">
        <f>IF(J41="","",RANK($J41,$J$9:$J$620,0)+COUNTIF($J$9:J41,$J41)-1)</f>
        <v/>
      </c>
      <c r="C41" s="46"/>
      <c r="D41" s="46"/>
      <c r="E41" s="46"/>
      <c r="F41" s="47" t="str">
        <f t="shared" si="20"/>
        <v>--</v>
      </c>
      <c r="G41" s="48"/>
      <c r="H41" s="46"/>
      <c r="I41" s="49"/>
      <c r="J41" s="50"/>
      <c r="K41" s="51"/>
      <c r="L41" s="52">
        <f t="shared" si="21"/>
        <v>31</v>
      </c>
      <c r="M41" s="52">
        <f t="shared" si="21"/>
        <v>31</v>
      </c>
      <c r="N41" s="53"/>
      <c r="O41" s="54"/>
      <c r="P41" s="55">
        <f t="shared" si="0"/>
        <v>0</v>
      </c>
      <c r="Q41" s="71"/>
      <c r="R41" s="56" t="str">
        <f t="shared" si="22"/>
        <v/>
      </c>
      <c r="S41" s="57" t="str">
        <f t="shared" si="23"/>
        <v/>
      </c>
      <c r="T41" s="58"/>
      <c r="V41" s="60"/>
      <c r="W41" s="72" t="str">
        <f t="shared" si="24"/>
        <v/>
      </c>
      <c r="X41" s="73">
        <f t="shared" si="1"/>
        <v>0</v>
      </c>
      <c r="Y41" s="74">
        <f t="shared" si="2"/>
        <v>0</v>
      </c>
      <c r="Z41" s="75">
        <f t="shared" si="3"/>
        <v>0</v>
      </c>
      <c r="AA41" s="76">
        <f t="shared" si="4"/>
        <v>0</v>
      </c>
      <c r="AB41" s="78">
        <f t="shared" si="26"/>
        <v>0</v>
      </c>
      <c r="AC41" s="77">
        <f t="shared" si="5"/>
        <v>0</v>
      </c>
      <c r="AD41" s="68">
        <f t="shared" si="6"/>
        <v>0</v>
      </c>
      <c r="AE41" s="74">
        <f t="shared" si="7"/>
        <v>0</v>
      </c>
      <c r="AF41" s="75">
        <f t="shared" si="8"/>
        <v>0</v>
      </c>
      <c r="AG41" s="76">
        <f t="shared" si="9"/>
        <v>0</v>
      </c>
      <c r="AH41" s="68">
        <f t="shared" si="10"/>
        <v>0</v>
      </c>
      <c r="AI41" s="73">
        <f t="shared" si="11"/>
        <v>0</v>
      </c>
      <c r="AJ41" s="75">
        <f t="shared" si="12"/>
        <v>0</v>
      </c>
      <c r="AK41" s="76">
        <f t="shared" si="13"/>
        <v>0</v>
      </c>
      <c r="AL41" s="68">
        <f t="shared" si="14"/>
        <v>0</v>
      </c>
      <c r="AM41" s="73">
        <f t="shared" si="15"/>
        <v>0</v>
      </c>
      <c r="AN41" s="75">
        <f t="shared" si="16"/>
        <v>0</v>
      </c>
      <c r="AO41" s="76">
        <f t="shared" si="17"/>
        <v>0</v>
      </c>
      <c r="AP41" s="68">
        <f t="shared" si="18"/>
        <v>0</v>
      </c>
    </row>
    <row r="42" spans="2:42" ht="15" thickBot="1" x14ac:dyDescent="0.4">
      <c r="B42" s="45" t="str">
        <f>IF(J42="","",RANK($J42,$J$9:$J$620,0)+COUNTIF($J$9:J42,$J42)-1)</f>
        <v/>
      </c>
      <c r="C42" s="46"/>
      <c r="D42" s="46"/>
      <c r="E42" s="46"/>
      <c r="F42" s="47" t="str">
        <f t="shared" si="20"/>
        <v>--</v>
      </c>
      <c r="G42" s="48"/>
      <c r="H42" s="46"/>
      <c r="I42" s="49"/>
      <c r="J42" s="50"/>
      <c r="K42" s="51"/>
      <c r="L42" s="52">
        <f t="shared" si="21"/>
        <v>31</v>
      </c>
      <c r="M42" s="52">
        <f t="shared" si="21"/>
        <v>31</v>
      </c>
      <c r="N42" s="53"/>
      <c r="O42" s="54"/>
      <c r="P42" s="55">
        <f t="shared" si="0"/>
        <v>0</v>
      </c>
      <c r="Q42" s="71"/>
      <c r="R42" s="56" t="str">
        <f t="shared" si="22"/>
        <v/>
      </c>
      <c r="S42" s="57" t="str">
        <f t="shared" si="23"/>
        <v/>
      </c>
      <c r="T42" s="58"/>
      <c r="V42" s="60"/>
      <c r="W42" s="89" t="str">
        <f t="shared" si="24"/>
        <v/>
      </c>
      <c r="X42" s="90">
        <f t="shared" si="1"/>
        <v>0</v>
      </c>
      <c r="Y42" s="91">
        <f t="shared" si="2"/>
        <v>0</v>
      </c>
      <c r="Z42" s="92">
        <f t="shared" si="3"/>
        <v>0</v>
      </c>
      <c r="AA42" s="93">
        <f t="shared" si="4"/>
        <v>0</v>
      </c>
      <c r="AB42" s="94">
        <f t="shared" si="26"/>
        <v>0</v>
      </c>
      <c r="AC42" s="95">
        <f t="shared" si="5"/>
        <v>0</v>
      </c>
      <c r="AD42" s="96">
        <f t="shared" si="6"/>
        <v>0</v>
      </c>
      <c r="AE42" s="91">
        <f t="shared" si="7"/>
        <v>0</v>
      </c>
      <c r="AF42" s="92">
        <f t="shared" si="8"/>
        <v>0</v>
      </c>
      <c r="AG42" s="93">
        <f t="shared" si="9"/>
        <v>0</v>
      </c>
      <c r="AH42" s="96">
        <f t="shared" si="10"/>
        <v>0</v>
      </c>
      <c r="AI42" s="90">
        <f t="shared" si="11"/>
        <v>0</v>
      </c>
      <c r="AJ42" s="92">
        <f t="shared" si="12"/>
        <v>0</v>
      </c>
      <c r="AK42" s="93">
        <f t="shared" si="13"/>
        <v>0</v>
      </c>
      <c r="AL42" s="96">
        <f t="shared" si="14"/>
        <v>0</v>
      </c>
      <c r="AM42" s="90">
        <f t="shared" si="15"/>
        <v>0</v>
      </c>
      <c r="AN42" s="92">
        <f t="shared" si="16"/>
        <v>0</v>
      </c>
      <c r="AO42" s="93">
        <f t="shared" si="17"/>
        <v>0</v>
      </c>
      <c r="AP42" s="96">
        <f t="shared" si="18"/>
        <v>0</v>
      </c>
    </row>
    <row r="43" spans="2:42" ht="15" thickBot="1" x14ac:dyDescent="0.4">
      <c r="B43" s="45" t="str">
        <f>IF(J43="","",RANK($J43,$J$9:$J$620,0)+COUNTIF($J$9:J43,$J43)-1)</f>
        <v/>
      </c>
      <c r="C43" s="46"/>
      <c r="D43" s="46"/>
      <c r="E43" s="46"/>
      <c r="F43" s="47" t="str">
        <f t="shared" si="20"/>
        <v>--</v>
      </c>
      <c r="G43" s="48"/>
      <c r="H43" s="46"/>
      <c r="I43" s="49"/>
      <c r="J43" s="50"/>
      <c r="K43" s="51"/>
      <c r="L43" s="52">
        <f t="shared" si="21"/>
        <v>31</v>
      </c>
      <c r="M43" s="52">
        <f t="shared" si="21"/>
        <v>31</v>
      </c>
      <c r="N43" s="53"/>
      <c r="O43" s="54"/>
      <c r="P43" s="55">
        <f t="shared" si="0"/>
        <v>0</v>
      </c>
      <c r="Q43" s="71"/>
      <c r="R43" s="56" t="str">
        <f t="shared" si="22"/>
        <v/>
      </c>
      <c r="S43" s="57" t="str">
        <f t="shared" si="23"/>
        <v/>
      </c>
      <c r="T43" s="58"/>
      <c r="V43" s="97" t="s">
        <v>38</v>
      </c>
      <c r="W43" s="98"/>
      <c r="X43" s="99">
        <f>SUM(X9:X42)</f>
        <v>284</v>
      </c>
      <c r="Y43" s="100">
        <f>SUM(Y9:Y42)</f>
        <v>284</v>
      </c>
      <c r="Z43" s="100">
        <f>SUMPRODUCT(X9:X42,Z9:Z42)/X43</f>
        <v>0</v>
      </c>
      <c r="AA43" s="101">
        <f>SUMPRODUCT($X$9:$X$42,AA9:AA42)/$X$43</f>
        <v>0</v>
      </c>
      <c r="AB43" s="101">
        <f>SUMPRODUCT($X$9:$X$42,AB9:AB42)/$X$43</f>
        <v>0</v>
      </c>
      <c r="AC43" s="102">
        <f>SUMPRODUCT($X$9:$X$42,AC9:AC42)/$X$43</f>
        <v>0</v>
      </c>
      <c r="AD43" s="103">
        <f>SUMPRODUCT(X9:X42,AD9:AD42)/X43</f>
        <v>0</v>
      </c>
      <c r="AE43" s="104">
        <f>SUM(AE9:AE42)</f>
        <v>0</v>
      </c>
      <c r="AF43" s="101">
        <f>SUMPRODUCT($X$9:$X$42,AF9:AF42)/$X$43</f>
        <v>0</v>
      </c>
      <c r="AG43" s="101">
        <f>SUMPRODUCT($X$9:$X$42,AG9:AG42)/$X$43</f>
        <v>0</v>
      </c>
      <c r="AH43" s="103">
        <f t="shared" ref="AH43" si="27">SUMPRODUCT($X$9:$X$42,AH9:AH42)/$X$43</f>
        <v>0</v>
      </c>
      <c r="AI43" s="105">
        <f>SUM(AI9:AI42)</f>
        <v>0</v>
      </c>
      <c r="AJ43" s="101">
        <f>SUMPRODUCT($X$9:$X$42,AJ9:AJ42)/$X$43</f>
        <v>0</v>
      </c>
      <c r="AK43" s="101">
        <f>SUMPRODUCT($X$9:$X$42,AK9:AK42)/$X$43</f>
        <v>0</v>
      </c>
      <c r="AL43" s="103">
        <f>SUMPRODUCT($X$9:$X$42,AL9:AL42)/$X$43</f>
        <v>0</v>
      </c>
      <c r="AM43" s="106">
        <f>SUM(AM9:AM42)</f>
        <v>0</v>
      </c>
      <c r="AN43" s="101">
        <f>SUMPRODUCT($X$9:$X$42,AN9:AN42)/$X$43</f>
        <v>0</v>
      </c>
      <c r="AO43" s="101">
        <f t="shared" ref="AO43:AP43" si="28">SUMPRODUCT($X$9:$X$42,AO9:AO42)/$X$43</f>
        <v>0</v>
      </c>
      <c r="AP43" s="103">
        <f t="shared" si="28"/>
        <v>0</v>
      </c>
    </row>
    <row r="44" spans="2:42" ht="15" thickBot="1" x14ac:dyDescent="0.4">
      <c r="B44" s="45" t="str">
        <f>IF(J44="","",RANK($J44,$J$9:$J$620,0)+COUNTIF($J$9:J44,$J44)-1)</f>
        <v/>
      </c>
      <c r="C44" s="46"/>
      <c r="D44" s="46"/>
      <c r="E44" s="46"/>
      <c r="F44" s="47" t="str">
        <f t="shared" si="20"/>
        <v>--</v>
      </c>
      <c r="G44" s="48"/>
      <c r="H44" s="46"/>
      <c r="I44" s="49"/>
      <c r="J44" s="50"/>
      <c r="K44" s="51"/>
      <c r="L44" s="52">
        <f t="shared" si="21"/>
        <v>31</v>
      </c>
      <c r="M44" s="52">
        <f t="shared" si="21"/>
        <v>31</v>
      </c>
      <c r="N44" s="53"/>
      <c r="O44" s="54"/>
      <c r="P44" s="55">
        <f t="shared" si="0"/>
        <v>0</v>
      </c>
      <c r="Q44" s="71"/>
      <c r="R44" s="56" t="str">
        <f t="shared" si="22"/>
        <v/>
      </c>
      <c r="S44" s="57" t="str">
        <f t="shared" si="23"/>
        <v/>
      </c>
      <c r="T44" s="58"/>
      <c r="X44" s="9"/>
      <c r="Y44" s="9"/>
      <c r="Z44" s="9"/>
      <c r="AA44" s="107"/>
      <c r="AB44" s="9"/>
      <c r="AD44" s="108">
        <f>AA43-AD43</f>
        <v>0</v>
      </c>
      <c r="AE44" s="109">
        <f>AE43/$X$43</f>
        <v>0</v>
      </c>
      <c r="AF44" s="110"/>
      <c r="AG44" s="110"/>
      <c r="AH44" s="111">
        <f>AH43-$AD$43</f>
        <v>0</v>
      </c>
      <c r="AI44" s="109">
        <f>AI43/$X$43</f>
        <v>0</v>
      </c>
      <c r="AJ44" s="112"/>
      <c r="AK44" s="112"/>
      <c r="AL44" s="111">
        <f>AL43-$AD$43</f>
        <v>0</v>
      </c>
      <c r="AM44" s="109">
        <f>AM43/$X$43</f>
        <v>0</v>
      </c>
      <c r="AN44" s="112"/>
      <c r="AO44" s="112"/>
      <c r="AP44" s="111">
        <f>AP43-$AD$43</f>
        <v>0</v>
      </c>
    </row>
    <row r="45" spans="2:42" x14ac:dyDescent="0.35">
      <c r="B45" s="45" t="str">
        <f>IF(J45="","",RANK($J45,$J$9:$J$620,0)+COUNTIF($J$9:J45,$J45)-1)</f>
        <v/>
      </c>
      <c r="C45" s="46"/>
      <c r="D45" s="46"/>
      <c r="E45" s="46"/>
      <c r="F45" s="47" t="str">
        <f t="shared" si="20"/>
        <v>--</v>
      </c>
      <c r="G45" s="48"/>
      <c r="H45" s="46"/>
      <c r="I45" s="49"/>
      <c r="J45" s="50"/>
      <c r="K45" s="51"/>
      <c r="L45" s="52">
        <f t="shared" si="21"/>
        <v>31</v>
      </c>
      <c r="M45" s="52">
        <f t="shared" si="21"/>
        <v>31</v>
      </c>
      <c r="N45" s="53"/>
      <c r="O45" s="54"/>
      <c r="P45" s="55">
        <f t="shared" si="0"/>
        <v>0</v>
      </c>
      <c r="Q45" s="71"/>
      <c r="R45" s="56" t="str">
        <f t="shared" si="22"/>
        <v/>
      </c>
      <c r="S45" s="57" t="str">
        <f t="shared" si="23"/>
        <v/>
      </c>
      <c r="T45" s="58"/>
      <c r="V45" s="113" t="s">
        <v>39</v>
      </c>
      <c r="W45" s="114"/>
      <c r="X45" s="115">
        <f>Y43/X43</f>
        <v>1</v>
      </c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</row>
    <row r="46" spans="2:42" x14ac:dyDescent="0.35">
      <c r="B46" s="45" t="str">
        <f>IF(J46="","",RANK($J46,$J$9:$J$620,0)+COUNTIF($J$9:J46,$J46)-1)</f>
        <v/>
      </c>
      <c r="C46" s="46"/>
      <c r="D46" s="46"/>
      <c r="E46" s="46"/>
      <c r="F46" s="47" t="str">
        <f t="shared" si="20"/>
        <v>--</v>
      </c>
      <c r="G46" s="48"/>
      <c r="H46" s="46"/>
      <c r="I46" s="49"/>
      <c r="J46" s="50"/>
      <c r="K46" s="51"/>
      <c r="L46" s="52">
        <f t="shared" si="21"/>
        <v>31</v>
      </c>
      <c r="M46" s="52">
        <f t="shared" si="21"/>
        <v>31</v>
      </c>
      <c r="N46" s="53"/>
      <c r="O46" s="54"/>
      <c r="P46" s="55">
        <f t="shared" si="0"/>
        <v>0</v>
      </c>
      <c r="Q46" s="71"/>
      <c r="R46" s="56" t="str">
        <f t="shared" si="22"/>
        <v/>
      </c>
      <c r="S46" s="57" t="str">
        <f t="shared" si="23"/>
        <v/>
      </c>
      <c r="T46" s="58"/>
      <c r="V46" s="113" t="s">
        <v>40</v>
      </c>
      <c r="W46" s="116"/>
      <c r="X46" s="115">
        <f>1-X45</f>
        <v>0</v>
      </c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</row>
    <row r="47" spans="2:42" ht="29" x14ac:dyDescent="0.35">
      <c r="B47" s="45" t="str">
        <f>IF(J47="","",RANK($J47,$J$9:$J$620,0)+COUNTIF($J$9:J47,$J47)-1)</f>
        <v/>
      </c>
      <c r="C47" s="46"/>
      <c r="D47" s="46"/>
      <c r="E47" s="46"/>
      <c r="F47" s="47" t="str">
        <f t="shared" si="20"/>
        <v>--</v>
      </c>
      <c r="G47" s="48"/>
      <c r="H47" s="46"/>
      <c r="I47" s="49"/>
      <c r="J47" s="50"/>
      <c r="K47" s="51"/>
      <c r="L47" s="52">
        <f t="shared" si="21"/>
        <v>31</v>
      </c>
      <c r="M47" s="52">
        <f t="shared" si="21"/>
        <v>31</v>
      </c>
      <c r="N47" s="53"/>
      <c r="O47" s="54"/>
      <c r="P47" s="55">
        <f t="shared" si="0"/>
        <v>0</v>
      </c>
      <c r="Q47" s="71"/>
      <c r="R47" s="56" t="str">
        <f t="shared" si="22"/>
        <v/>
      </c>
      <c r="S47" s="57" t="str">
        <f t="shared" si="23"/>
        <v/>
      </c>
      <c r="T47" s="58"/>
      <c r="X47" s="9"/>
      <c r="Y47" s="9"/>
      <c r="Z47" s="9"/>
      <c r="AA47" s="117" t="s">
        <v>41</v>
      </c>
      <c r="AB47" s="118"/>
      <c r="AC47" s="119" t="e">
        <f>1-AD43/AA43</f>
        <v>#DIV/0!</v>
      </c>
      <c r="AD47" s="9"/>
      <c r="AE47" s="9"/>
      <c r="AF47" s="175" t="s">
        <v>42</v>
      </c>
      <c r="AG47" s="120" t="e">
        <f>1-AH43/AG43</f>
        <v>#DIV/0!</v>
      </c>
      <c r="AH47" s="9"/>
      <c r="AI47" s="9"/>
      <c r="AJ47" s="175" t="s">
        <v>43</v>
      </c>
      <c r="AK47" s="120" t="e">
        <f>1-AL43/AK43</f>
        <v>#DIV/0!</v>
      </c>
      <c r="AL47" s="9"/>
      <c r="AM47" s="9"/>
      <c r="AN47" s="177" t="s">
        <v>44</v>
      </c>
      <c r="AO47" s="119" t="e">
        <f>1-AP43/AO43</f>
        <v>#DIV/0!</v>
      </c>
    </row>
    <row r="48" spans="2:42" ht="29" x14ac:dyDescent="0.35">
      <c r="B48" s="45" t="str">
        <f>IF(J48="","",RANK($J48,$J$9:$J$620,0)+COUNTIF($J$9:J48,$J48)-1)</f>
        <v/>
      </c>
      <c r="C48" s="46"/>
      <c r="D48" s="46"/>
      <c r="E48" s="46"/>
      <c r="F48" s="47" t="str">
        <f t="shared" si="20"/>
        <v>--</v>
      </c>
      <c r="G48" s="48"/>
      <c r="H48" s="46"/>
      <c r="I48" s="49"/>
      <c r="J48" s="50"/>
      <c r="K48" s="51"/>
      <c r="L48" s="52">
        <f t="shared" si="21"/>
        <v>31</v>
      </c>
      <c r="M48" s="52">
        <f t="shared" si="21"/>
        <v>31</v>
      </c>
      <c r="N48" s="53"/>
      <c r="O48" s="54"/>
      <c r="P48" s="55">
        <f t="shared" si="0"/>
        <v>0</v>
      </c>
      <c r="Q48" s="71"/>
      <c r="R48" s="56" t="str">
        <f t="shared" si="22"/>
        <v/>
      </c>
      <c r="S48" s="57" t="str">
        <f t="shared" si="23"/>
        <v/>
      </c>
      <c r="T48" s="58"/>
      <c r="Y48" s="121"/>
      <c r="AA48" s="117" t="s">
        <v>45</v>
      </c>
      <c r="AB48" s="118"/>
      <c r="AC48" s="119" t="e">
        <f>1-AD43/$AB$43</f>
        <v>#DIV/0!</v>
      </c>
      <c r="AF48" s="176"/>
      <c r="AG48" s="120" t="e">
        <f>1-AH43/$AB$43</f>
        <v>#DIV/0!</v>
      </c>
      <c r="AJ48" s="176"/>
      <c r="AK48" s="120" t="e">
        <f>1-AL43/$AB$43</f>
        <v>#DIV/0!</v>
      </c>
      <c r="AN48" s="178"/>
      <c r="AO48" s="119" t="e">
        <f>1-AP43/$AB$43</f>
        <v>#DIV/0!</v>
      </c>
    </row>
    <row r="49" spans="2:29" s="79" customFormat="1" x14ac:dyDescent="0.35">
      <c r="B49" s="45" t="str">
        <f>IF(J49="","",RANK($J49,$J$9:$J$620,0)+COUNTIF($J$9:J49,$J49)-1)</f>
        <v/>
      </c>
      <c r="C49" s="46"/>
      <c r="D49" s="46"/>
      <c r="E49" s="46"/>
      <c r="F49" s="47" t="str">
        <f t="shared" si="20"/>
        <v>--</v>
      </c>
      <c r="G49" s="48"/>
      <c r="H49" s="46"/>
      <c r="I49" s="49"/>
      <c r="J49" s="50"/>
      <c r="K49" s="51"/>
      <c r="L49" s="52">
        <f t="shared" si="21"/>
        <v>31</v>
      </c>
      <c r="M49" s="52">
        <f t="shared" si="21"/>
        <v>31</v>
      </c>
      <c r="N49" s="53"/>
      <c r="O49" s="54"/>
      <c r="P49" s="55">
        <f t="shared" si="0"/>
        <v>0</v>
      </c>
      <c r="Q49" s="71"/>
      <c r="R49" s="56" t="str">
        <f t="shared" si="22"/>
        <v/>
      </c>
      <c r="S49" s="57" t="str">
        <f t="shared" si="23"/>
        <v/>
      </c>
      <c r="T49" s="58"/>
    </row>
    <row r="50" spans="2:29" x14ac:dyDescent="0.35">
      <c r="B50" s="45" t="str">
        <f>IF(J50="","",RANK($J50,$J$9:$J$620,0)+COUNTIF($J$9:J50,$J50)-1)</f>
        <v/>
      </c>
      <c r="C50" s="46"/>
      <c r="D50" s="46"/>
      <c r="E50" s="46"/>
      <c r="F50" s="47" t="str">
        <f t="shared" si="20"/>
        <v>--</v>
      </c>
      <c r="G50" s="48"/>
      <c r="H50" s="46"/>
      <c r="I50" s="49"/>
      <c r="J50" s="50"/>
      <c r="K50" s="51"/>
      <c r="L50" s="52">
        <f t="shared" si="21"/>
        <v>31</v>
      </c>
      <c r="M50" s="52">
        <f t="shared" si="21"/>
        <v>31</v>
      </c>
      <c r="N50" s="53"/>
      <c r="O50" s="54"/>
      <c r="P50" s="55">
        <f t="shared" si="0"/>
        <v>0</v>
      </c>
      <c r="Q50" s="71"/>
      <c r="R50" s="56" t="str">
        <f t="shared" si="22"/>
        <v/>
      </c>
      <c r="S50" s="57" t="str">
        <f t="shared" si="23"/>
        <v/>
      </c>
      <c r="T50" s="58"/>
      <c r="AC50" s="14"/>
    </row>
    <row r="51" spans="2:29" x14ac:dyDescent="0.35">
      <c r="B51" s="45" t="str">
        <f>IF(J51="","",RANK($J51,$J$9:$J$620,0)+COUNTIF($J$9:J51,$J51)-1)</f>
        <v/>
      </c>
      <c r="C51" s="46"/>
      <c r="D51" s="46"/>
      <c r="E51" s="46"/>
      <c r="F51" s="47" t="str">
        <f t="shared" si="20"/>
        <v>--</v>
      </c>
      <c r="G51" s="48"/>
      <c r="H51" s="46"/>
      <c r="I51" s="49"/>
      <c r="J51" s="50"/>
      <c r="K51" s="51"/>
      <c r="L51" s="52">
        <f t="shared" si="21"/>
        <v>31</v>
      </c>
      <c r="M51" s="52">
        <f t="shared" si="21"/>
        <v>31</v>
      </c>
      <c r="N51" s="53"/>
      <c r="O51" s="54"/>
      <c r="P51" s="55">
        <f t="shared" si="0"/>
        <v>0</v>
      </c>
      <c r="Q51" s="71"/>
      <c r="R51" s="56" t="str">
        <f t="shared" si="22"/>
        <v/>
      </c>
      <c r="S51" s="57" t="str">
        <f t="shared" si="23"/>
        <v/>
      </c>
      <c r="T51" s="58"/>
    </row>
    <row r="52" spans="2:29" x14ac:dyDescent="0.35">
      <c r="B52" s="45" t="str">
        <f>IF(J52="","",RANK($J52,$J$9:$J$620,0)+COUNTIF($J$9:J52,$J52)-1)</f>
        <v/>
      </c>
      <c r="C52" s="46"/>
      <c r="D52" s="46"/>
      <c r="E52" s="46"/>
      <c r="F52" s="47" t="str">
        <f t="shared" si="20"/>
        <v>--</v>
      </c>
      <c r="G52" s="48"/>
      <c r="H52" s="46"/>
      <c r="I52" s="49"/>
      <c r="J52" s="50"/>
      <c r="K52" s="51"/>
      <c r="L52" s="52">
        <f t="shared" si="21"/>
        <v>31</v>
      </c>
      <c r="M52" s="52">
        <f t="shared" si="21"/>
        <v>31</v>
      </c>
      <c r="N52" s="53"/>
      <c r="O52" s="54"/>
      <c r="P52" s="55">
        <f t="shared" si="0"/>
        <v>0</v>
      </c>
      <c r="Q52" s="71"/>
      <c r="R52" s="56" t="str">
        <f t="shared" si="22"/>
        <v/>
      </c>
      <c r="S52" s="57" t="str">
        <f t="shared" si="23"/>
        <v/>
      </c>
      <c r="T52" s="58"/>
    </row>
    <row r="53" spans="2:29" x14ac:dyDescent="0.35">
      <c r="B53" s="45" t="str">
        <f>IF(J53="","",RANK($J53,$J$9:$J$620,0)+COUNTIF($J$9:J53,$J53)-1)</f>
        <v/>
      </c>
      <c r="C53" s="46"/>
      <c r="D53" s="46"/>
      <c r="E53" s="46"/>
      <c r="F53" s="47" t="str">
        <f t="shared" si="20"/>
        <v>--</v>
      </c>
      <c r="G53" s="48"/>
      <c r="H53" s="46"/>
      <c r="I53" s="49"/>
      <c r="J53" s="50"/>
      <c r="K53" s="51"/>
      <c r="L53" s="52">
        <f t="shared" si="21"/>
        <v>31</v>
      </c>
      <c r="M53" s="52">
        <f t="shared" si="21"/>
        <v>31</v>
      </c>
      <c r="N53" s="53"/>
      <c r="O53" s="54"/>
      <c r="P53" s="55">
        <f t="shared" si="0"/>
        <v>0</v>
      </c>
      <c r="Q53" s="46"/>
      <c r="R53" s="56" t="str">
        <f t="shared" si="22"/>
        <v/>
      </c>
      <c r="S53" s="57" t="str">
        <f t="shared" si="23"/>
        <v/>
      </c>
      <c r="T53" s="58"/>
      <c r="AA53" s="14"/>
      <c r="AB53" s="14"/>
    </row>
    <row r="54" spans="2:29" x14ac:dyDescent="0.35">
      <c r="B54" s="45" t="str">
        <f>IF(J54="","",RANK($J54,$J$9:$J$620,0)+COUNTIF($J$9:J54,$J54)-1)</f>
        <v/>
      </c>
      <c r="C54" s="46"/>
      <c r="D54" s="46"/>
      <c r="E54" s="46"/>
      <c r="F54" s="47" t="str">
        <f t="shared" si="20"/>
        <v>--</v>
      </c>
      <c r="G54" s="48"/>
      <c r="H54" s="46"/>
      <c r="I54" s="49"/>
      <c r="J54" s="50"/>
      <c r="K54" s="51"/>
      <c r="L54" s="52">
        <f t="shared" si="21"/>
        <v>31</v>
      </c>
      <c r="M54" s="52">
        <f t="shared" si="21"/>
        <v>31</v>
      </c>
      <c r="N54" s="53"/>
      <c r="O54" s="54"/>
      <c r="P54" s="55">
        <f t="shared" si="0"/>
        <v>0</v>
      </c>
      <c r="Q54" s="71"/>
      <c r="R54" s="56" t="str">
        <f t="shared" si="22"/>
        <v/>
      </c>
      <c r="S54" s="57" t="str">
        <f t="shared" si="23"/>
        <v/>
      </c>
      <c r="T54" s="58"/>
    </row>
    <row r="55" spans="2:29" x14ac:dyDescent="0.35">
      <c r="B55" s="45" t="str">
        <f>IF(J55="","",RANK($J55,$J$9:$J$620,0)+COUNTIF($J$9:J55,$J55)-1)</f>
        <v/>
      </c>
      <c r="C55" s="46"/>
      <c r="D55" s="46"/>
      <c r="E55" s="46"/>
      <c r="F55" s="47" t="str">
        <f t="shared" si="20"/>
        <v>--</v>
      </c>
      <c r="G55" s="48"/>
      <c r="H55" s="46"/>
      <c r="I55" s="49"/>
      <c r="J55" s="50"/>
      <c r="K55" s="51"/>
      <c r="L55" s="52">
        <f t="shared" si="21"/>
        <v>31</v>
      </c>
      <c r="M55" s="52">
        <f t="shared" si="21"/>
        <v>31</v>
      </c>
      <c r="N55" s="53"/>
      <c r="O55" s="54"/>
      <c r="P55" s="55">
        <f t="shared" si="0"/>
        <v>0</v>
      </c>
      <c r="Q55" s="71"/>
      <c r="R55" s="56" t="str">
        <f t="shared" si="22"/>
        <v/>
      </c>
      <c r="S55" s="57" t="str">
        <f t="shared" si="23"/>
        <v/>
      </c>
      <c r="T55" s="58"/>
    </row>
    <row r="56" spans="2:29" x14ac:dyDescent="0.35">
      <c r="B56" s="45" t="str">
        <f>IF(J56="","",RANK($J56,$J$9:$J$620,0)+COUNTIF($J$9:J56,$J56)-1)</f>
        <v/>
      </c>
      <c r="C56" s="46"/>
      <c r="D56" s="46"/>
      <c r="E56" s="46"/>
      <c r="F56" s="47" t="str">
        <f t="shared" si="20"/>
        <v>--</v>
      </c>
      <c r="G56" s="48"/>
      <c r="H56" s="46"/>
      <c r="I56" s="49"/>
      <c r="J56" s="50"/>
      <c r="K56" s="51"/>
      <c r="L56" s="52">
        <f t="shared" si="21"/>
        <v>31</v>
      </c>
      <c r="M56" s="52">
        <f t="shared" si="21"/>
        <v>31</v>
      </c>
      <c r="N56" s="53"/>
      <c r="O56" s="54"/>
      <c r="P56" s="55">
        <f t="shared" si="0"/>
        <v>0</v>
      </c>
      <c r="Q56" s="71"/>
      <c r="R56" s="56" t="str">
        <f t="shared" si="22"/>
        <v/>
      </c>
      <c r="S56" s="57" t="str">
        <f t="shared" si="23"/>
        <v/>
      </c>
      <c r="T56" s="58"/>
    </row>
    <row r="57" spans="2:29" x14ac:dyDescent="0.35">
      <c r="B57" s="45" t="str">
        <f>IF(J57="","",RANK($J57,$J$9:$J$620,0)+COUNTIF($J$9:J57,$J57)-1)</f>
        <v/>
      </c>
      <c r="C57" s="46"/>
      <c r="D57" s="46"/>
      <c r="E57" s="46"/>
      <c r="F57" s="47" t="str">
        <f t="shared" si="20"/>
        <v>--</v>
      </c>
      <c r="G57" s="48"/>
      <c r="H57" s="46"/>
      <c r="I57" s="49"/>
      <c r="J57" s="50"/>
      <c r="K57" s="51"/>
      <c r="L57" s="52">
        <f t="shared" si="21"/>
        <v>31</v>
      </c>
      <c r="M57" s="52">
        <f t="shared" si="21"/>
        <v>31</v>
      </c>
      <c r="N57" s="53"/>
      <c r="O57" s="54"/>
      <c r="P57" s="55">
        <f t="shared" si="0"/>
        <v>0</v>
      </c>
      <c r="Q57" s="71"/>
      <c r="R57" s="56" t="str">
        <f t="shared" si="22"/>
        <v/>
      </c>
      <c r="S57" s="57" t="str">
        <f t="shared" si="23"/>
        <v/>
      </c>
      <c r="T57" s="58"/>
    </row>
    <row r="58" spans="2:29" x14ac:dyDescent="0.35">
      <c r="B58" s="45" t="str">
        <f>IF(J58="","",RANK($J58,$J$9:$J$620,0)+COUNTIF($J$9:J58,$J58)-1)</f>
        <v/>
      </c>
      <c r="C58" s="46"/>
      <c r="D58" s="46"/>
      <c r="E58" s="46"/>
      <c r="F58" s="47" t="str">
        <f t="shared" si="20"/>
        <v>--</v>
      </c>
      <c r="G58" s="48"/>
      <c r="H58" s="46"/>
      <c r="I58" s="49"/>
      <c r="J58" s="50"/>
      <c r="K58" s="51"/>
      <c r="L58" s="52">
        <f t="shared" si="21"/>
        <v>31</v>
      </c>
      <c r="M58" s="52">
        <f t="shared" si="21"/>
        <v>31</v>
      </c>
      <c r="N58" s="53"/>
      <c r="O58" s="54"/>
      <c r="P58" s="55">
        <f t="shared" si="0"/>
        <v>0</v>
      </c>
      <c r="Q58" s="71"/>
      <c r="R58" s="56" t="str">
        <f t="shared" si="22"/>
        <v/>
      </c>
      <c r="S58" s="57" t="str">
        <f t="shared" si="23"/>
        <v/>
      </c>
      <c r="T58" s="58"/>
    </row>
    <row r="59" spans="2:29" x14ac:dyDescent="0.35">
      <c r="B59" s="45" t="str">
        <f>IF(J59="","",RANK($J59,$J$9:$J$620,0)+COUNTIF($J$9:J59,$J59)-1)</f>
        <v/>
      </c>
      <c r="C59" s="46"/>
      <c r="D59" s="46"/>
      <c r="E59" s="46"/>
      <c r="F59" s="47" t="str">
        <f t="shared" si="20"/>
        <v>--</v>
      </c>
      <c r="G59" s="48"/>
      <c r="H59" s="46"/>
      <c r="I59" s="49"/>
      <c r="J59" s="50"/>
      <c r="K59" s="51"/>
      <c r="L59" s="52">
        <f t="shared" si="21"/>
        <v>31</v>
      </c>
      <c r="M59" s="52">
        <f t="shared" si="21"/>
        <v>31</v>
      </c>
      <c r="N59" s="53"/>
      <c r="O59" s="54"/>
      <c r="P59" s="55">
        <f t="shared" si="0"/>
        <v>0</v>
      </c>
      <c r="Q59" s="71"/>
      <c r="R59" s="56" t="str">
        <f t="shared" si="22"/>
        <v/>
      </c>
      <c r="S59" s="57" t="str">
        <f t="shared" si="23"/>
        <v/>
      </c>
      <c r="T59" s="58"/>
    </row>
    <row r="60" spans="2:29" x14ac:dyDescent="0.35">
      <c r="B60" s="45" t="str">
        <f>IF(J60="","",RANK($J60,$J$9:$J$620,0)+COUNTIF($J$9:J60,$J60)-1)</f>
        <v/>
      </c>
      <c r="C60" s="46"/>
      <c r="D60" s="46"/>
      <c r="E60" s="46"/>
      <c r="F60" s="47" t="str">
        <f t="shared" si="20"/>
        <v>--</v>
      </c>
      <c r="G60" s="48"/>
      <c r="H60" s="46"/>
      <c r="I60" s="49"/>
      <c r="J60" s="50"/>
      <c r="K60" s="51"/>
      <c r="L60" s="52">
        <f t="shared" si="21"/>
        <v>31</v>
      </c>
      <c r="M60" s="52">
        <f t="shared" si="21"/>
        <v>31</v>
      </c>
      <c r="N60" s="53"/>
      <c r="O60" s="54"/>
      <c r="P60" s="55">
        <f t="shared" si="0"/>
        <v>0</v>
      </c>
      <c r="Q60" s="71"/>
      <c r="R60" s="56" t="str">
        <f t="shared" si="22"/>
        <v/>
      </c>
      <c r="S60" s="57" t="str">
        <f t="shared" si="23"/>
        <v/>
      </c>
      <c r="T60" s="58"/>
    </row>
    <row r="61" spans="2:29" x14ac:dyDescent="0.35">
      <c r="B61" s="45" t="str">
        <f>IF(J61="","",RANK($J61,$J$9:$J$620,0)+COUNTIF($J$9:J61,$J61)-1)</f>
        <v/>
      </c>
      <c r="C61" s="46"/>
      <c r="D61" s="46"/>
      <c r="E61" s="46"/>
      <c r="F61" s="47" t="str">
        <f t="shared" si="20"/>
        <v>--</v>
      </c>
      <c r="G61" s="48"/>
      <c r="H61" s="46"/>
      <c r="I61" s="49"/>
      <c r="J61" s="50"/>
      <c r="K61" s="51"/>
      <c r="L61" s="52">
        <f t="shared" si="21"/>
        <v>31</v>
      </c>
      <c r="M61" s="52">
        <f t="shared" si="21"/>
        <v>31</v>
      </c>
      <c r="N61" s="53"/>
      <c r="O61" s="54"/>
      <c r="P61" s="55">
        <f t="shared" si="0"/>
        <v>0</v>
      </c>
      <c r="Q61" s="71"/>
      <c r="R61" s="56" t="str">
        <f t="shared" si="22"/>
        <v/>
      </c>
      <c r="S61" s="57" t="str">
        <f t="shared" si="23"/>
        <v/>
      </c>
      <c r="T61" s="58"/>
    </row>
    <row r="62" spans="2:29" x14ac:dyDescent="0.35">
      <c r="B62" s="45" t="str">
        <f>IF(J62="","",RANK($J62,$J$9:$J$620,0)+COUNTIF($J$9:J62,$J62)-1)</f>
        <v/>
      </c>
      <c r="C62" s="46"/>
      <c r="D62" s="46"/>
      <c r="E62" s="46"/>
      <c r="F62" s="47" t="str">
        <f t="shared" si="20"/>
        <v>--</v>
      </c>
      <c r="G62" s="48"/>
      <c r="H62" s="46"/>
      <c r="I62" s="49"/>
      <c r="J62" s="50"/>
      <c r="K62" s="51"/>
      <c r="L62" s="52">
        <f t="shared" si="21"/>
        <v>31</v>
      </c>
      <c r="M62" s="52">
        <f t="shared" si="21"/>
        <v>31</v>
      </c>
      <c r="N62" s="53"/>
      <c r="O62" s="54"/>
      <c r="P62" s="55">
        <f t="shared" si="0"/>
        <v>0</v>
      </c>
      <c r="Q62" s="71"/>
      <c r="R62" s="56" t="str">
        <f t="shared" si="22"/>
        <v/>
      </c>
      <c r="S62" s="57" t="str">
        <f t="shared" si="23"/>
        <v/>
      </c>
      <c r="T62" s="58"/>
    </row>
    <row r="63" spans="2:29" x14ac:dyDescent="0.35">
      <c r="B63" s="45" t="str">
        <f>IF(J63="","",RANK($J63,$J$9:$J$620,0)+COUNTIF($J$9:J63,$J63)-1)</f>
        <v/>
      </c>
      <c r="C63" s="46"/>
      <c r="D63" s="46"/>
      <c r="E63" s="46"/>
      <c r="F63" s="47" t="str">
        <f t="shared" si="20"/>
        <v>--</v>
      </c>
      <c r="G63" s="48"/>
      <c r="H63" s="46"/>
      <c r="I63" s="49"/>
      <c r="J63" s="50"/>
      <c r="K63" s="51"/>
      <c r="L63" s="52">
        <f t="shared" si="21"/>
        <v>31</v>
      </c>
      <c r="M63" s="52">
        <f t="shared" si="21"/>
        <v>31</v>
      </c>
      <c r="N63" s="53"/>
      <c r="O63" s="54"/>
      <c r="P63" s="55">
        <f t="shared" si="0"/>
        <v>0</v>
      </c>
      <c r="Q63" s="71"/>
      <c r="R63" s="56" t="str">
        <f t="shared" si="22"/>
        <v/>
      </c>
      <c r="S63" s="57" t="str">
        <f t="shared" si="23"/>
        <v/>
      </c>
      <c r="T63" s="58"/>
    </row>
    <row r="64" spans="2:29" x14ac:dyDescent="0.35">
      <c r="B64" s="45" t="str">
        <f>IF(J64="","",RANK($J64,$J$9:$J$620,0)+COUNTIF($J$9:J64,$J64)-1)</f>
        <v/>
      </c>
      <c r="C64" s="46"/>
      <c r="D64" s="46"/>
      <c r="E64" s="46"/>
      <c r="F64" s="47" t="str">
        <f t="shared" si="20"/>
        <v>--</v>
      </c>
      <c r="G64" s="48"/>
      <c r="H64" s="46"/>
      <c r="I64" s="49"/>
      <c r="J64" s="50"/>
      <c r="K64" s="51"/>
      <c r="L64" s="52">
        <f t="shared" si="21"/>
        <v>31</v>
      </c>
      <c r="M64" s="52">
        <f t="shared" si="21"/>
        <v>31</v>
      </c>
      <c r="N64" s="53"/>
      <c r="O64" s="54"/>
      <c r="P64" s="55">
        <f t="shared" si="0"/>
        <v>0</v>
      </c>
      <c r="Q64" s="71"/>
      <c r="R64" s="56" t="str">
        <f t="shared" si="22"/>
        <v/>
      </c>
      <c r="S64" s="57" t="str">
        <f t="shared" si="23"/>
        <v/>
      </c>
      <c r="T64" s="58"/>
    </row>
    <row r="65" spans="2:32" x14ac:dyDescent="0.35">
      <c r="B65" s="45" t="str">
        <f>IF(J65="","",RANK($J65,$J$9:$J$620,0)+COUNTIF($J$9:J65,$J65)-1)</f>
        <v/>
      </c>
      <c r="C65" s="46"/>
      <c r="D65" s="46"/>
      <c r="E65" s="46"/>
      <c r="F65" s="47" t="str">
        <f t="shared" si="20"/>
        <v>--</v>
      </c>
      <c r="G65" s="48"/>
      <c r="H65" s="46"/>
      <c r="I65" s="49"/>
      <c r="J65" s="50"/>
      <c r="K65" s="51"/>
      <c r="L65" s="52">
        <f t="shared" si="21"/>
        <v>31</v>
      </c>
      <c r="M65" s="52">
        <f t="shared" si="21"/>
        <v>31</v>
      </c>
      <c r="N65" s="53"/>
      <c r="O65" s="54"/>
      <c r="P65" s="55">
        <f t="shared" si="0"/>
        <v>0</v>
      </c>
      <c r="Q65" s="71"/>
      <c r="R65" s="56" t="str">
        <f t="shared" si="22"/>
        <v/>
      </c>
      <c r="S65" s="57" t="str">
        <f t="shared" si="23"/>
        <v/>
      </c>
      <c r="T65" s="58"/>
    </row>
    <row r="66" spans="2:32" x14ac:dyDescent="0.35">
      <c r="B66" s="45" t="str">
        <f>IF(J66="","",RANK($J66,$J$9:$J$620,0)+COUNTIF($J$9:J66,$J66)-1)</f>
        <v/>
      </c>
      <c r="C66" s="46"/>
      <c r="D66" s="46"/>
      <c r="E66" s="46"/>
      <c r="F66" s="47" t="str">
        <f t="shared" si="20"/>
        <v>--</v>
      </c>
      <c r="G66" s="48"/>
      <c r="H66" s="46"/>
      <c r="I66" s="49"/>
      <c r="J66" s="50"/>
      <c r="K66" s="51"/>
      <c r="L66" s="52">
        <f t="shared" si="21"/>
        <v>31</v>
      </c>
      <c r="M66" s="52">
        <f t="shared" si="21"/>
        <v>31</v>
      </c>
      <c r="N66" s="53"/>
      <c r="O66" s="54"/>
      <c r="P66" s="55">
        <f t="shared" si="0"/>
        <v>0</v>
      </c>
      <c r="Q66" s="71"/>
      <c r="R66" s="56" t="str">
        <f t="shared" si="22"/>
        <v/>
      </c>
      <c r="S66" s="57" t="str">
        <f t="shared" si="23"/>
        <v/>
      </c>
      <c r="T66" s="58"/>
    </row>
    <row r="67" spans="2:32" ht="29" x14ac:dyDescent="0.35">
      <c r="B67" s="45" t="str">
        <f>IF(J67="","",RANK($J67,$J$9:$J$620,0)+COUNTIF($J$9:J67,$J67)-1)</f>
        <v/>
      </c>
      <c r="C67" s="46"/>
      <c r="D67" s="46"/>
      <c r="E67" s="46"/>
      <c r="F67" s="47" t="str">
        <f t="shared" si="20"/>
        <v>--</v>
      </c>
      <c r="G67" s="48"/>
      <c r="H67" s="46"/>
      <c r="I67" s="49"/>
      <c r="J67" s="50"/>
      <c r="K67" s="51"/>
      <c r="L67" s="52">
        <f t="shared" si="21"/>
        <v>31</v>
      </c>
      <c r="M67" s="52">
        <f t="shared" si="21"/>
        <v>31</v>
      </c>
      <c r="N67" s="53"/>
      <c r="O67" s="54"/>
      <c r="P67" s="55">
        <f t="shared" si="0"/>
        <v>0</v>
      </c>
      <c r="Q67" s="71"/>
      <c r="R67" s="56" t="str">
        <f t="shared" si="22"/>
        <v/>
      </c>
      <c r="S67" s="57" t="str">
        <f t="shared" si="23"/>
        <v/>
      </c>
      <c r="T67" s="58"/>
      <c r="V67" s="31" t="s">
        <v>46</v>
      </c>
      <c r="W67" s="32" t="s">
        <v>47</v>
      </c>
      <c r="X67" s="32" t="s">
        <v>48</v>
      </c>
      <c r="Y67" s="32" t="s">
        <v>49</v>
      </c>
      <c r="Z67" s="32" t="s">
        <v>50</v>
      </c>
      <c r="AB67" s="32" t="s">
        <v>10</v>
      </c>
      <c r="AC67" s="32" t="s">
        <v>51</v>
      </c>
      <c r="AD67" s="32" t="s">
        <v>52</v>
      </c>
      <c r="AE67" s="32" t="s">
        <v>53</v>
      </c>
      <c r="AF67" s="32" t="s">
        <v>54</v>
      </c>
    </row>
    <row r="68" spans="2:32" x14ac:dyDescent="0.35">
      <c r="B68" s="45" t="str">
        <f>IF(J68="","",RANK($J68,$J$9:$J$620,0)+COUNTIF($J$9:J68,$J68)-1)</f>
        <v/>
      </c>
      <c r="C68" s="46"/>
      <c r="D68" s="46"/>
      <c r="E68" s="46"/>
      <c r="F68" s="47" t="str">
        <f t="shared" si="20"/>
        <v>--</v>
      </c>
      <c r="G68" s="48"/>
      <c r="H68" s="46"/>
      <c r="I68" s="49"/>
      <c r="J68" s="50"/>
      <c r="K68" s="51"/>
      <c r="L68" s="52">
        <f t="shared" si="21"/>
        <v>31</v>
      </c>
      <c r="M68" s="52">
        <f t="shared" si="21"/>
        <v>31</v>
      </c>
      <c r="N68" s="53"/>
      <c r="O68" s="54"/>
      <c r="P68" s="55">
        <f t="shared" si="0"/>
        <v>0</v>
      </c>
      <c r="Q68" s="71"/>
      <c r="R68" s="56" t="str">
        <f t="shared" si="22"/>
        <v/>
      </c>
      <c r="S68" s="57" t="str">
        <f t="shared" si="23"/>
        <v/>
      </c>
      <c r="T68" s="58"/>
      <c r="V68" s="122" t="e">
        <f t="shared" ref="V68:V77" si="29">EOMONTH(V69,-1)</f>
        <v>#NUM!</v>
      </c>
      <c r="W68" s="123">
        <f t="shared" ref="W68:W79" si="30">COUNTIFS(L:L,V68,$R:$R,"Renewed Lease")</f>
        <v>0</v>
      </c>
      <c r="X68" s="124" t="str">
        <f t="shared" ref="X68:X79" si="31">IFERROR(AVERAGEIFS($S:$S,$R:$R,"Renewed Lease",$L:$L,$V68),"")</f>
        <v/>
      </c>
      <c r="Y68" s="125">
        <f t="shared" ref="Y68:Y79" si="32">COUNTIFS(L:L,V68,$R:$R,"New Lease")</f>
        <v>0</v>
      </c>
      <c r="Z68" s="124" t="str">
        <f t="shared" ref="Z68:Z79" si="33">IFERROR(AVERAGEIFS($S:$S,$R:$R,"New Lease",$L:$L,$V68),"")</f>
        <v/>
      </c>
      <c r="AB68" s="45" t="s">
        <v>55</v>
      </c>
      <c r="AC68" s="45">
        <f>SUMIFS($X$9:$X$42,$W$9:$W$42,AB68)</f>
        <v>0</v>
      </c>
      <c r="AD68" s="126" cm="1">
        <f t="array" ref="AD68">IFERROR(SUMPRODUCT(($W$9:$W$42=AB68)*$X$9:$X$42,($W$9:$W$42=AB68)*$AA$9:$AA$42)/AC68,0)</f>
        <v>0</v>
      </c>
      <c r="AE68" s="126" cm="1">
        <f t="array" ref="AE68">IFERROR(SUMPRODUCT(($W$9:$W$42=AB68)*$X$9:$X$42,($W$9:$W$42=AB68)*$AB$9:$AB$42)/AC68,0)</f>
        <v>0</v>
      </c>
      <c r="AF68" s="126" cm="1">
        <f t="array" ref="AF68">IFERROR(SUMPRODUCT(($W$9:$W$42=AB68)*$X$9:$X$42,($W$9:$W$42=AB68)*$AD$9:$AD$42)/AC68,0)</f>
        <v>0</v>
      </c>
    </row>
    <row r="69" spans="2:32" x14ac:dyDescent="0.35">
      <c r="B69" s="45" t="str">
        <f>IF(J69="","",RANK($J69,$J$9:$J$620,0)+COUNTIF($J$9:J69,$J69)-1)</f>
        <v/>
      </c>
      <c r="C69" s="46"/>
      <c r="D69" s="46"/>
      <c r="E69" s="46"/>
      <c r="F69" s="47" t="str">
        <f t="shared" si="20"/>
        <v>--</v>
      </c>
      <c r="G69" s="48"/>
      <c r="H69" s="46"/>
      <c r="I69" s="49"/>
      <c r="J69" s="50"/>
      <c r="K69" s="51"/>
      <c r="L69" s="52">
        <f t="shared" si="21"/>
        <v>31</v>
      </c>
      <c r="M69" s="52">
        <f t="shared" si="21"/>
        <v>31</v>
      </c>
      <c r="N69" s="53"/>
      <c r="O69" s="54"/>
      <c r="P69" s="55">
        <f t="shared" si="0"/>
        <v>0</v>
      </c>
      <c r="Q69" s="71"/>
      <c r="R69" s="56" t="str">
        <f t="shared" si="22"/>
        <v/>
      </c>
      <c r="S69" s="57" t="str">
        <f t="shared" si="23"/>
        <v/>
      </c>
      <c r="T69" s="58"/>
      <c r="V69" s="122" t="e">
        <f t="shared" si="29"/>
        <v>#NUM!</v>
      </c>
      <c r="W69" s="123">
        <f t="shared" si="30"/>
        <v>0</v>
      </c>
      <c r="X69" s="124" t="str">
        <f t="shared" si="31"/>
        <v/>
      </c>
      <c r="Y69" s="125">
        <f t="shared" si="32"/>
        <v>0</v>
      </c>
      <c r="Z69" s="124" t="str">
        <f t="shared" si="33"/>
        <v/>
      </c>
      <c r="AB69" s="45">
        <v>1</v>
      </c>
      <c r="AC69" s="45">
        <f t="shared" ref="AC69" si="34">SUMIFS($X$9:$X$42,$W$9:$W$42,AB69)</f>
        <v>0</v>
      </c>
      <c r="AD69" s="126" cm="1">
        <f t="array" ref="AD69">IFERROR(SUMPRODUCT(($W$9:$W$42=AB69)*$X$9:$X$42,($W$9:$W$42=AB69)*$AA$9:$AA$42)/AC69,0)</f>
        <v>0</v>
      </c>
      <c r="AE69" s="126" cm="1">
        <f t="array" ref="AE69">IFERROR(SUMPRODUCT(($W$9:$W$42=AB69)*$X$9:$X$42,($W$9:$W$42=AB69)*$AB$9:$AB$42)/AC69,0)</f>
        <v>0</v>
      </c>
      <c r="AF69" s="126" cm="1">
        <f t="array" ref="AF69">IFERROR(SUMPRODUCT(($W$9:$W$42=AB69)*$X$9:$X$42,($W$9:$W$42=AB69)*$AD$9:$AD$42)/AC69,0)</f>
        <v>0</v>
      </c>
    </row>
    <row r="70" spans="2:32" x14ac:dyDescent="0.35">
      <c r="B70" s="45" t="str">
        <f>IF(J70="","",RANK($J70,$J$9:$J$620,0)+COUNTIF($J$9:J70,$J70)-1)</f>
        <v/>
      </c>
      <c r="C70" s="46"/>
      <c r="D70" s="46"/>
      <c r="E70" s="46"/>
      <c r="F70" s="47" t="str">
        <f t="shared" si="20"/>
        <v>--</v>
      </c>
      <c r="G70" s="48"/>
      <c r="H70" s="46"/>
      <c r="I70" s="49"/>
      <c r="J70" s="50"/>
      <c r="K70" s="51"/>
      <c r="L70" s="52">
        <f t="shared" si="21"/>
        <v>31</v>
      </c>
      <c r="M70" s="52">
        <f t="shared" si="21"/>
        <v>31</v>
      </c>
      <c r="N70" s="53"/>
      <c r="O70" s="54"/>
      <c r="P70" s="55">
        <f t="shared" si="0"/>
        <v>0</v>
      </c>
      <c r="Q70" s="71"/>
      <c r="R70" s="56" t="str">
        <f t="shared" si="22"/>
        <v/>
      </c>
      <c r="S70" s="57" t="str">
        <f t="shared" si="23"/>
        <v/>
      </c>
      <c r="T70" s="58"/>
      <c r="V70" s="122" t="e">
        <f t="shared" si="29"/>
        <v>#NUM!</v>
      </c>
      <c r="W70" s="123">
        <f t="shared" si="30"/>
        <v>0</v>
      </c>
      <c r="X70" s="124" t="str">
        <f t="shared" si="31"/>
        <v/>
      </c>
      <c r="Y70" s="125">
        <f t="shared" si="32"/>
        <v>0</v>
      </c>
      <c r="Z70" s="124" t="str">
        <f t="shared" si="33"/>
        <v/>
      </c>
      <c r="AB70" s="45">
        <v>2</v>
      </c>
      <c r="AC70" s="45">
        <f>SUMIFS($X$9:$X$42,$W$9:$W$42,AB70)</f>
        <v>0</v>
      </c>
      <c r="AD70" s="126" cm="1">
        <f t="array" ref="AD70">IFERROR(SUMPRODUCT(($W$9:$W$42=AB70)*$X$9:$X$42,($W$9:$W$42=AB70)*$AA$9:$AA$42)/AC70,0)</f>
        <v>0</v>
      </c>
      <c r="AE70" s="126" cm="1">
        <f t="array" ref="AE70">IFERROR(SUMPRODUCT(($W$9:$W$42=AB70)*$X$9:$X$42,($W$9:$W$42=AB70)*$AB$9:$AB$42)/AC70,0)</f>
        <v>0</v>
      </c>
      <c r="AF70" s="126" cm="1">
        <f t="array" ref="AF70">IFERROR(SUMPRODUCT(($W$9:$W$42=AB70)*$X$9:$X$42,($W$9:$W$42=AB70)*$AD$9:$AD$42)/AC70,0)</f>
        <v>0</v>
      </c>
    </row>
    <row r="71" spans="2:32" x14ac:dyDescent="0.35">
      <c r="B71" s="45" t="str">
        <f>IF(J71="","",RANK($J71,$J$9:$J$620,0)+COUNTIF($J$9:J71,$J71)-1)</f>
        <v/>
      </c>
      <c r="C71" s="46"/>
      <c r="D71" s="46"/>
      <c r="E71" s="46"/>
      <c r="F71" s="47" t="str">
        <f t="shared" si="20"/>
        <v>--</v>
      </c>
      <c r="G71" s="48"/>
      <c r="H71" s="46"/>
      <c r="I71" s="49"/>
      <c r="J71" s="50"/>
      <c r="K71" s="51"/>
      <c r="L71" s="52">
        <f t="shared" si="21"/>
        <v>31</v>
      </c>
      <c r="M71" s="52">
        <f t="shared" si="21"/>
        <v>31</v>
      </c>
      <c r="N71" s="53"/>
      <c r="O71" s="54"/>
      <c r="P71" s="55">
        <f t="shared" si="0"/>
        <v>0</v>
      </c>
      <c r="Q71" s="71"/>
      <c r="R71" s="56" t="str">
        <f t="shared" si="22"/>
        <v/>
      </c>
      <c r="S71" s="57" t="str">
        <f t="shared" si="23"/>
        <v/>
      </c>
      <c r="T71" s="58"/>
      <c r="V71" s="122" t="e">
        <f t="shared" si="29"/>
        <v>#NUM!</v>
      </c>
      <c r="W71" s="123">
        <f t="shared" si="30"/>
        <v>0</v>
      </c>
      <c r="X71" s="124" t="str">
        <f t="shared" si="31"/>
        <v/>
      </c>
      <c r="Y71" s="125">
        <f t="shared" si="32"/>
        <v>0</v>
      </c>
      <c r="Z71" s="124" t="str">
        <f t="shared" si="33"/>
        <v/>
      </c>
      <c r="AB71" s="45">
        <v>3</v>
      </c>
      <c r="AC71" s="45">
        <f t="shared" ref="AC71:AC72" si="35">SUMIFS($X$9:$X$42,$W$9:$W$42,AB71)</f>
        <v>0</v>
      </c>
      <c r="AD71" s="126" cm="1">
        <f t="array" ref="AD71">IFERROR(SUMPRODUCT(($W$9:$W$42=AB71)*$X$9:$X$42,($W$9:$W$42=AB71)*$AA$9:$AA$42)/AC71,0)</f>
        <v>0</v>
      </c>
      <c r="AE71" s="126" cm="1">
        <f t="array" ref="AE71">IFERROR(SUMPRODUCT(($W$9:$W$42=AB71)*$X$9:$X$42,($W$9:$W$42=AB71)*$AB$9:$AB$42)/AC71,0)</f>
        <v>0</v>
      </c>
      <c r="AF71" s="126" cm="1">
        <f t="array" ref="AF71">IFERROR(SUMPRODUCT(($W$9:$W$42=AB71)*$X$9:$X$42,($W$9:$W$42=AB71)*$AD$9:$AD$42)/AC71,0)</f>
        <v>0</v>
      </c>
    </row>
    <row r="72" spans="2:32" x14ac:dyDescent="0.35">
      <c r="B72" s="45" t="str">
        <f>IF(J72="","",RANK($J72,$J$9:$J$620,0)+COUNTIF($J$9:J72,$J72)-1)</f>
        <v/>
      </c>
      <c r="C72" s="46"/>
      <c r="D72" s="46"/>
      <c r="E72" s="46"/>
      <c r="F72" s="47" t="str">
        <f t="shared" si="20"/>
        <v>--</v>
      </c>
      <c r="G72" s="48"/>
      <c r="H72" s="46"/>
      <c r="I72" s="49"/>
      <c r="J72" s="50"/>
      <c r="K72" s="51"/>
      <c r="L72" s="52">
        <f t="shared" si="21"/>
        <v>31</v>
      </c>
      <c r="M72" s="52">
        <f t="shared" si="21"/>
        <v>31</v>
      </c>
      <c r="N72" s="53"/>
      <c r="O72" s="54"/>
      <c r="P72" s="55">
        <f t="shared" si="0"/>
        <v>0</v>
      </c>
      <c r="Q72" s="71"/>
      <c r="R72" s="56" t="str">
        <f t="shared" si="22"/>
        <v/>
      </c>
      <c r="S72" s="57" t="str">
        <f t="shared" si="23"/>
        <v/>
      </c>
      <c r="T72" s="58"/>
      <c r="V72" s="122" t="e">
        <f t="shared" si="29"/>
        <v>#NUM!</v>
      </c>
      <c r="W72" s="123">
        <f t="shared" si="30"/>
        <v>0</v>
      </c>
      <c r="X72" s="124" t="str">
        <f t="shared" si="31"/>
        <v/>
      </c>
      <c r="Y72" s="125">
        <f t="shared" si="32"/>
        <v>0</v>
      </c>
      <c r="Z72" s="124" t="str">
        <f t="shared" si="33"/>
        <v/>
      </c>
      <c r="AB72" s="45">
        <v>4</v>
      </c>
      <c r="AC72" s="45">
        <f t="shared" si="35"/>
        <v>0</v>
      </c>
      <c r="AD72" s="126" cm="1">
        <f t="array" ref="AD72">IFERROR(SUMPRODUCT(($W$9:$W$42=AB72)*$X$9:$X$42,($W$9:$W$42=AB72)*$AA$9:$AA$42)/AC72,0)</f>
        <v>0</v>
      </c>
      <c r="AE72" s="126" cm="1">
        <f t="array" ref="AE72">IFERROR(SUMPRODUCT(($W$9:$W$42=AB72)*$X$9:$X$42,($W$9:$W$42=AB72)*$AB$9:$AB$42)/AC72,0)</f>
        <v>0</v>
      </c>
      <c r="AF72" s="126" cm="1">
        <f t="array" ref="AF72">IFERROR(SUMPRODUCT(($W$9:$W$42=AB72)*$X$9:$X$42,($W$9:$W$42=AB72)*$AD$9:$AD$42)/AC72,0)</f>
        <v>0</v>
      </c>
    </row>
    <row r="73" spans="2:32" x14ac:dyDescent="0.35">
      <c r="B73" s="45" t="str">
        <f>IF(J73="","",RANK($J73,$J$9:$J$620,0)+COUNTIF($J$9:J73,$J73)-1)</f>
        <v/>
      </c>
      <c r="C73" s="46"/>
      <c r="D73" s="46"/>
      <c r="E73" s="46"/>
      <c r="F73" s="47" t="str">
        <f t="shared" si="20"/>
        <v>--</v>
      </c>
      <c r="G73" s="48"/>
      <c r="H73" s="46"/>
      <c r="I73" s="49"/>
      <c r="J73" s="50"/>
      <c r="K73" s="51"/>
      <c r="L73" s="52">
        <f t="shared" si="21"/>
        <v>31</v>
      </c>
      <c r="M73" s="52">
        <f t="shared" si="21"/>
        <v>31</v>
      </c>
      <c r="N73" s="53"/>
      <c r="O73" s="54"/>
      <c r="P73" s="55">
        <f t="shared" ref="P73:P136" si="36">VLOOKUP(F73,$V$8:$AP$43,COLUMNS($V$9:$AB$9),0)</f>
        <v>0</v>
      </c>
      <c r="Q73" s="71"/>
      <c r="R73" s="56" t="str">
        <f t="shared" si="22"/>
        <v/>
      </c>
      <c r="S73" s="57" t="str">
        <f t="shared" si="23"/>
        <v/>
      </c>
      <c r="T73" s="58"/>
      <c r="V73" s="122" t="e">
        <f t="shared" si="29"/>
        <v>#NUM!</v>
      </c>
      <c r="W73" s="123">
        <f t="shared" si="30"/>
        <v>0</v>
      </c>
      <c r="X73" s="124" t="str">
        <f t="shared" si="31"/>
        <v/>
      </c>
      <c r="Y73" s="125">
        <f t="shared" si="32"/>
        <v>0</v>
      </c>
      <c r="Z73" s="124" t="str">
        <f t="shared" si="33"/>
        <v/>
      </c>
      <c r="AB73" s="86" t="s">
        <v>56</v>
      </c>
      <c r="AC73" s="86">
        <f>SUM(AC68:AC72)</f>
        <v>0</v>
      </c>
      <c r="AD73" s="127" t="e">
        <f>SUMPRODUCT(AD68:AD72,$AC$68:$AC$72)/SUM($AC$68:$AC$72)</f>
        <v>#DIV/0!</v>
      </c>
      <c r="AE73" s="127" t="e">
        <f>SUMPRODUCT(AE68:AE72,$AC$68:$AC$72)/SUM($AC$68:$AC$72)</f>
        <v>#DIV/0!</v>
      </c>
      <c r="AF73" s="127" t="e">
        <f>SUMPRODUCT(AF68:AF72,$AC$68:$AC$72)/SUM($AC$68:$AC$72)</f>
        <v>#DIV/0!</v>
      </c>
    </row>
    <row r="74" spans="2:32" x14ac:dyDescent="0.35">
      <c r="B74" s="45" t="str">
        <f>IF(J74="","",RANK($J74,$J$9:$J$620,0)+COUNTIF($J$9:J74,$J74)-1)</f>
        <v/>
      </c>
      <c r="C74" s="46"/>
      <c r="D74" s="46"/>
      <c r="E74" s="46"/>
      <c r="F74" s="47" t="str">
        <f t="shared" ref="F74:F137" si="37">G74&amp;"-"&amp;E74&amp;"-"&amp;D74</f>
        <v>--</v>
      </c>
      <c r="G74" s="48"/>
      <c r="H74" s="46"/>
      <c r="I74" s="49"/>
      <c r="J74" s="50"/>
      <c r="K74" s="51"/>
      <c r="L74" s="52">
        <f t="shared" ref="L74:M129" si="38">EOMONTH(J74,0)</f>
        <v>31</v>
      </c>
      <c r="M74" s="52">
        <f t="shared" si="38"/>
        <v>31</v>
      </c>
      <c r="N74" s="53"/>
      <c r="O74" s="54"/>
      <c r="P74" s="55">
        <f t="shared" si="36"/>
        <v>0</v>
      </c>
      <c r="Q74" s="71"/>
      <c r="R74" s="56" t="str">
        <f t="shared" ref="R74:R137" si="39">IF(I74="","",IF(($G$5-I74)/365&gt;1.5,"Renewed Lease","New Lease"))</f>
        <v/>
      </c>
      <c r="S74" s="57" t="str">
        <f t="shared" ref="S74:S137" si="40">IF(Q74="","",IFERROR(1-Q74/P74,""))</f>
        <v/>
      </c>
      <c r="T74" s="58"/>
      <c r="V74" s="122" t="e">
        <f t="shared" si="29"/>
        <v>#NUM!</v>
      </c>
      <c r="W74" s="123">
        <f t="shared" si="30"/>
        <v>0</v>
      </c>
      <c r="X74" s="124" t="str">
        <f t="shared" si="31"/>
        <v/>
      </c>
      <c r="Y74" s="125">
        <f t="shared" si="32"/>
        <v>0</v>
      </c>
      <c r="Z74" s="124" t="str">
        <f t="shared" si="33"/>
        <v/>
      </c>
    </row>
    <row r="75" spans="2:32" x14ac:dyDescent="0.35">
      <c r="B75" s="45" t="str">
        <f>IF(J75="","",RANK($J75,$J$9:$J$620,0)+COUNTIF($J$9:J75,$J75)-1)</f>
        <v/>
      </c>
      <c r="C75" s="46"/>
      <c r="D75" s="46"/>
      <c r="E75" s="46"/>
      <c r="F75" s="47" t="str">
        <f t="shared" si="37"/>
        <v>--</v>
      </c>
      <c r="G75" s="48"/>
      <c r="H75" s="46"/>
      <c r="I75" s="49"/>
      <c r="J75" s="50"/>
      <c r="K75" s="51"/>
      <c r="L75" s="52">
        <f t="shared" si="38"/>
        <v>31</v>
      </c>
      <c r="M75" s="52">
        <f t="shared" si="38"/>
        <v>31</v>
      </c>
      <c r="N75" s="53"/>
      <c r="O75" s="54"/>
      <c r="P75" s="55">
        <f t="shared" si="36"/>
        <v>0</v>
      </c>
      <c r="Q75" s="71"/>
      <c r="R75" s="56" t="str">
        <f t="shared" si="39"/>
        <v/>
      </c>
      <c r="S75" s="57" t="str">
        <f t="shared" si="40"/>
        <v/>
      </c>
      <c r="T75" s="58"/>
      <c r="V75" s="122" t="e">
        <f t="shared" si="29"/>
        <v>#NUM!</v>
      </c>
      <c r="W75" s="123">
        <f t="shared" si="30"/>
        <v>0</v>
      </c>
      <c r="X75" s="124" t="str">
        <f t="shared" si="31"/>
        <v/>
      </c>
      <c r="Y75" s="125">
        <f t="shared" si="32"/>
        <v>0</v>
      </c>
      <c r="Z75" s="124" t="str">
        <f t="shared" si="33"/>
        <v/>
      </c>
    </row>
    <row r="76" spans="2:32" x14ac:dyDescent="0.35">
      <c r="B76" s="45" t="str">
        <f>IF(J76="","",RANK($J76,$J$9:$J$620,0)+COUNTIF($J$9:J76,$J76)-1)</f>
        <v/>
      </c>
      <c r="C76" s="46"/>
      <c r="D76" s="46"/>
      <c r="E76" s="46"/>
      <c r="F76" s="47" t="str">
        <f t="shared" si="37"/>
        <v>--</v>
      </c>
      <c r="G76" s="48"/>
      <c r="H76" s="46"/>
      <c r="I76" s="49"/>
      <c r="J76" s="50"/>
      <c r="K76" s="51"/>
      <c r="L76" s="52">
        <f t="shared" si="38"/>
        <v>31</v>
      </c>
      <c r="M76" s="52">
        <f t="shared" si="38"/>
        <v>31</v>
      </c>
      <c r="N76" s="53"/>
      <c r="O76" s="54"/>
      <c r="P76" s="55">
        <f t="shared" si="36"/>
        <v>0</v>
      </c>
      <c r="Q76" s="71"/>
      <c r="R76" s="56" t="str">
        <f t="shared" si="39"/>
        <v/>
      </c>
      <c r="S76" s="57" t="str">
        <f t="shared" si="40"/>
        <v/>
      </c>
      <c r="T76" s="58"/>
      <c r="V76" s="122" t="e">
        <f t="shared" si="29"/>
        <v>#NUM!</v>
      </c>
      <c r="W76" s="123">
        <f t="shared" si="30"/>
        <v>0</v>
      </c>
      <c r="X76" s="124" t="str">
        <f t="shared" si="31"/>
        <v/>
      </c>
      <c r="Y76" s="125">
        <f t="shared" si="32"/>
        <v>0</v>
      </c>
      <c r="Z76" s="124" t="str">
        <f t="shared" si="33"/>
        <v/>
      </c>
    </row>
    <row r="77" spans="2:32" x14ac:dyDescent="0.35">
      <c r="B77" s="45" t="str">
        <f>IF(J77="","",RANK($J77,$J$9:$J$620,0)+COUNTIF($J$9:J77,$J77)-1)</f>
        <v/>
      </c>
      <c r="C77" s="46"/>
      <c r="D77" s="46"/>
      <c r="E77" s="46"/>
      <c r="F77" s="47" t="str">
        <f t="shared" si="37"/>
        <v>--</v>
      </c>
      <c r="G77" s="48"/>
      <c r="H77" s="46"/>
      <c r="I77" s="49"/>
      <c r="J77" s="50"/>
      <c r="K77" s="51"/>
      <c r="L77" s="52">
        <f t="shared" si="38"/>
        <v>31</v>
      </c>
      <c r="M77" s="52">
        <f t="shared" si="38"/>
        <v>31</v>
      </c>
      <c r="N77" s="53"/>
      <c r="O77" s="54"/>
      <c r="P77" s="55">
        <f t="shared" si="36"/>
        <v>0</v>
      </c>
      <c r="Q77" s="71"/>
      <c r="R77" s="56" t="str">
        <f t="shared" si="39"/>
        <v/>
      </c>
      <c r="S77" s="57" t="str">
        <f t="shared" si="40"/>
        <v/>
      </c>
      <c r="T77" s="58"/>
      <c r="V77" s="122" t="e">
        <f t="shared" si="29"/>
        <v>#NUM!</v>
      </c>
      <c r="W77" s="123">
        <f t="shared" si="30"/>
        <v>0</v>
      </c>
      <c r="X77" s="124" t="str">
        <f t="shared" si="31"/>
        <v/>
      </c>
      <c r="Y77" s="125">
        <f t="shared" si="32"/>
        <v>0</v>
      </c>
      <c r="Z77" s="124" t="str">
        <f t="shared" si="33"/>
        <v/>
      </c>
    </row>
    <row r="78" spans="2:32" x14ac:dyDescent="0.35">
      <c r="B78" s="45" t="str">
        <f>IF(J78="","",RANK($J78,$J$9:$J$620,0)+COUNTIF($J$9:J78,$J78)-1)</f>
        <v/>
      </c>
      <c r="C78" s="46"/>
      <c r="D78" s="46"/>
      <c r="E78" s="46"/>
      <c r="F78" s="47" t="str">
        <f t="shared" si="37"/>
        <v>--</v>
      </c>
      <c r="G78" s="48"/>
      <c r="H78" s="46"/>
      <c r="I78" s="49"/>
      <c r="J78" s="50"/>
      <c r="K78" s="51"/>
      <c r="L78" s="52">
        <f t="shared" si="38"/>
        <v>31</v>
      </c>
      <c r="M78" s="52">
        <f t="shared" si="38"/>
        <v>31</v>
      </c>
      <c r="N78" s="53"/>
      <c r="O78" s="54"/>
      <c r="P78" s="55">
        <f t="shared" si="36"/>
        <v>0</v>
      </c>
      <c r="Q78" s="71"/>
      <c r="R78" s="56" t="str">
        <f t="shared" si="39"/>
        <v/>
      </c>
      <c r="S78" s="57" t="str">
        <f t="shared" si="40"/>
        <v/>
      </c>
      <c r="T78" s="58"/>
      <c r="V78" s="122" t="e">
        <f>EOMONTH(V79,-1)</f>
        <v>#NUM!</v>
      </c>
      <c r="W78" s="123">
        <f t="shared" si="30"/>
        <v>0</v>
      </c>
      <c r="X78" s="124" t="str">
        <f t="shared" si="31"/>
        <v/>
      </c>
      <c r="Y78" s="125">
        <f t="shared" si="32"/>
        <v>0</v>
      </c>
      <c r="Z78" s="124" t="str">
        <f t="shared" si="33"/>
        <v/>
      </c>
    </row>
    <row r="79" spans="2:32" x14ac:dyDescent="0.35">
      <c r="B79" s="45" t="str">
        <f>IF(J79="","",RANK($J79,$J$9:$J$620,0)+COUNTIF($J$9:J79,$J79)-1)</f>
        <v/>
      </c>
      <c r="C79" s="46"/>
      <c r="D79" s="46"/>
      <c r="E79" s="46"/>
      <c r="F79" s="47" t="str">
        <f t="shared" si="37"/>
        <v>--</v>
      </c>
      <c r="G79" s="48"/>
      <c r="H79" s="46"/>
      <c r="I79" s="49"/>
      <c r="J79" s="50"/>
      <c r="K79" s="51"/>
      <c r="L79" s="52">
        <f t="shared" si="38"/>
        <v>31</v>
      </c>
      <c r="M79" s="52">
        <f t="shared" si="38"/>
        <v>31</v>
      </c>
      <c r="N79" s="53"/>
      <c r="O79" s="54"/>
      <c r="P79" s="55">
        <f t="shared" si="36"/>
        <v>0</v>
      </c>
      <c r="Q79" s="71"/>
      <c r="R79" s="56" t="str">
        <f t="shared" si="39"/>
        <v/>
      </c>
      <c r="S79" s="57" t="str">
        <f t="shared" si="40"/>
        <v/>
      </c>
      <c r="T79" s="58"/>
      <c r="V79" s="122">
        <f>EOMONTH(G5,0)</f>
        <v>31</v>
      </c>
      <c r="W79" s="123">
        <f t="shared" si="30"/>
        <v>0</v>
      </c>
      <c r="X79" s="124" t="str">
        <f t="shared" si="31"/>
        <v/>
      </c>
      <c r="Y79" s="125">
        <f t="shared" si="32"/>
        <v>0</v>
      </c>
      <c r="Z79" s="124" t="str">
        <f t="shared" si="33"/>
        <v/>
      </c>
    </row>
    <row r="80" spans="2:32" x14ac:dyDescent="0.35">
      <c r="B80" s="45" t="str">
        <f>IF(J80="","",RANK($J80,$J$9:$J$620,0)+COUNTIF($J$9:J80,$J80)-1)</f>
        <v/>
      </c>
      <c r="C80" s="46"/>
      <c r="D80" s="46"/>
      <c r="E80" s="46"/>
      <c r="F80" s="47" t="str">
        <f t="shared" si="37"/>
        <v>--</v>
      </c>
      <c r="G80" s="48"/>
      <c r="H80" s="46"/>
      <c r="I80" s="49"/>
      <c r="J80" s="50"/>
      <c r="K80" s="51"/>
      <c r="L80" s="52">
        <f t="shared" si="38"/>
        <v>31</v>
      </c>
      <c r="M80" s="52">
        <f t="shared" si="38"/>
        <v>31</v>
      </c>
      <c r="N80" s="53"/>
      <c r="O80" s="54"/>
      <c r="P80" s="55">
        <f t="shared" si="36"/>
        <v>0</v>
      </c>
      <c r="Q80" s="71"/>
      <c r="R80" s="56" t="str">
        <f t="shared" si="39"/>
        <v/>
      </c>
      <c r="S80" s="57" t="str">
        <f t="shared" si="40"/>
        <v/>
      </c>
      <c r="T80" s="58"/>
      <c r="V80" s="44" t="s">
        <v>57</v>
      </c>
      <c r="W80" s="128">
        <f>SUM(W68:W79)</f>
        <v>0</v>
      </c>
      <c r="X80" s="129" t="e">
        <f>SUMPRODUCT(X68:X79,W68:W79)/W80</f>
        <v>#DIV/0!</v>
      </c>
      <c r="Y80" s="128">
        <f>SUM(Y68:Y79)</f>
        <v>0</v>
      </c>
      <c r="Z80" s="129" t="e">
        <f>SUMPRODUCT(Z68:Z79,Y68:Y79)/Y80</f>
        <v>#DIV/0!</v>
      </c>
    </row>
    <row r="81" spans="2:40" x14ac:dyDescent="0.35">
      <c r="B81" s="45" t="str">
        <f>IF(J81="","",RANK($J81,$J$9:$J$620,0)+COUNTIF($J$9:J81,$J81)-1)</f>
        <v/>
      </c>
      <c r="C81" s="46"/>
      <c r="D81" s="46"/>
      <c r="E81" s="46"/>
      <c r="F81" s="47" t="str">
        <f t="shared" si="37"/>
        <v>--</v>
      </c>
      <c r="G81" s="48"/>
      <c r="H81" s="46"/>
      <c r="I81" s="49"/>
      <c r="J81" s="50"/>
      <c r="K81" s="51"/>
      <c r="L81" s="52">
        <f t="shared" si="38"/>
        <v>31</v>
      </c>
      <c r="M81" s="52">
        <f t="shared" si="38"/>
        <v>31</v>
      </c>
      <c r="N81" s="53"/>
      <c r="O81" s="54"/>
      <c r="P81" s="55">
        <f t="shared" si="36"/>
        <v>0</v>
      </c>
      <c r="Q81" s="71"/>
      <c r="R81" s="56" t="str">
        <f t="shared" si="39"/>
        <v/>
      </c>
      <c r="S81" s="57" t="str">
        <f t="shared" si="40"/>
        <v/>
      </c>
      <c r="T81" s="58"/>
      <c r="W81" s="130" t="e">
        <f>W80/SUM(W80,Y80)</f>
        <v>#DIV/0!</v>
      </c>
      <c r="Y81" s="130" t="e">
        <f>Y80/SUM(Y80,W80)</f>
        <v>#DIV/0!</v>
      </c>
    </row>
    <row r="82" spans="2:40" x14ac:dyDescent="0.35">
      <c r="B82" s="45" t="str">
        <f>IF(J82="","",RANK($J82,$J$9:$J$620,0)+COUNTIF($J$9:J82,$J82)-1)</f>
        <v/>
      </c>
      <c r="C82" s="46"/>
      <c r="D82" s="46"/>
      <c r="E82" s="46"/>
      <c r="F82" s="47" t="str">
        <f t="shared" si="37"/>
        <v>--</v>
      </c>
      <c r="G82" s="48"/>
      <c r="H82" s="46"/>
      <c r="I82" s="49"/>
      <c r="J82" s="50"/>
      <c r="K82" s="51"/>
      <c r="L82" s="52">
        <f t="shared" si="38"/>
        <v>31</v>
      </c>
      <c r="M82" s="52">
        <f t="shared" si="38"/>
        <v>31</v>
      </c>
      <c r="N82" s="53"/>
      <c r="O82" s="54"/>
      <c r="P82" s="55">
        <f t="shared" si="36"/>
        <v>0</v>
      </c>
      <c r="Q82" s="71"/>
      <c r="R82" s="56" t="str">
        <f t="shared" si="39"/>
        <v/>
      </c>
      <c r="S82" s="57" t="str">
        <f t="shared" si="40"/>
        <v/>
      </c>
      <c r="T82" s="58"/>
    </row>
    <row r="83" spans="2:40" x14ac:dyDescent="0.35">
      <c r="B83" s="45" t="str">
        <f>IF(J83="","",RANK($J83,$J$9:$J$620,0)+COUNTIF($J$9:J83,$J83)-1)</f>
        <v/>
      </c>
      <c r="C83" s="46"/>
      <c r="D83" s="46"/>
      <c r="E83" s="46"/>
      <c r="F83" s="47" t="str">
        <f t="shared" si="37"/>
        <v>--</v>
      </c>
      <c r="G83" s="48"/>
      <c r="H83" s="46"/>
      <c r="I83" s="49"/>
      <c r="J83" s="50"/>
      <c r="K83" s="51"/>
      <c r="L83" s="52">
        <f t="shared" si="38"/>
        <v>31</v>
      </c>
      <c r="M83" s="52">
        <f t="shared" si="38"/>
        <v>31</v>
      </c>
      <c r="N83" s="53"/>
      <c r="O83" s="54"/>
      <c r="P83" s="55">
        <f t="shared" si="36"/>
        <v>0</v>
      </c>
      <c r="Q83" s="71"/>
      <c r="R83" s="56" t="str">
        <f t="shared" si="39"/>
        <v/>
      </c>
      <c r="S83" s="57" t="str">
        <f t="shared" si="40"/>
        <v/>
      </c>
      <c r="T83" s="58"/>
    </row>
    <row r="84" spans="2:40" ht="29.5" thickBot="1" x14ac:dyDescent="0.4">
      <c r="B84" s="45" t="str">
        <f>IF(J84="","",RANK($J84,$J$9:$J$620,0)+COUNTIF($J$9:J84,$J84)-1)</f>
        <v/>
      </c>
      <c r="C84" s="46"/>
      <c r="D84" s="46"/>
      <c r="E84" s="46"/>
      <c r="F84" s="47" t="str">
        <f t="shared" si="37"/>
        <v>--</v>
      </c>
      <c r="G84" s="48"/>
      <c r="H84" s="46"/>
      <c r="I84" s="49"/>
      <c r="J84" s="50"/>
      <c r="K84" s="51"/>
      <c r="L84" s="52">
        <f t="shared" si="38"/>
        <v>31</v>
      </c>
      <c r="M84" s="52">
        <f t="shared" si="38"/>
        <v>31</v>
      </c>
      <c r="N84" s="53"/>
      <c r="O84" s="54"/>
      <c r="P84" s="55">
        <f t="shared" si="36"/>
        <v>0</v>
      </c>
      <c r="Q84" s="71"/>
      <c r="R84" s="56" t="str">
        <f t="shared" si="39"/>
        <v/>
      </c>
      <c r="S84" s="57" t="str">
        <f t="shared" si="40"/>
        <v/>
      </c>
      <c r="T84" s="58"/>
      <c r="V84" s="131" t="str">
        <f>V8</f>
        <v>Unit Mix</v>
      </c>
      <c r="W84" s="132" t="str">
        <f>X8</f>
        <v>Units</v>
      </c>
      <c r="X84" s="132" t="str">
        <f>Z8</f>
        <v>SF</v>
      </c>
      <c r="Y84" s="132" t="str">
        <f>AB8</f>
        <v>Target Market Rents before Reno</v>
      </c>
      <c r="Z84" s="133">
        <v>10</v>
      </c>
      <c r="AB84" s="134" t="s">
        <v>58</v>
      </c>
      <c r="AC84" s="135" t="s">
        <v>9</v>
      </c>
      <c r="AD84" s="135" t="s">
        <v>12</v>
      </c>
      <c r="AE84" s="135" t="s">
        <v>14</v>
      </c>
      <c r="AF84" s="135" t="s">
        <v>59</v>
      </c>
      <c r="AG84" s="135" t="s">
        <v>15</v>
      </c>
      <c r="AH84" s="135" t="s">
        <v>17</v>
      </c>
      <c r="AI84" s="135" t="s">
        <v>60</v>
      </c>
      <c r="AJ84" s="135" t="s">
        <v>21</v>
      </c>
      <c r="AK84" s="135" t="s">
        <v>23</v>
      </c>
      <c r="AL84" s="135" t="s">
        <v>61</v>
      </c>
      <c r="AM84" s="135" t="s">
        <v>62</v>
      </c>
      <c r="AN84" s="136" t="s">
        <v>63</v>
      </c>
    </row>
    <row r="85" spans="2:40" x14ac:dyDescent="0.35">
      <c r="B85" s="45" t="str">
        <f>IF(J85="","",RANK($J85,$J$9:$J$620,0)+COUNTIF($J$9:J85,$J85)-1)</f>
        <v/>
      </c>
      <c r="C85" s="46"/>
      <c r="D85" s="46"/>
      <c r="E85" s="46"/>
      <c r="F85" s="47" t="str">
        <f t="shared" si="37"/>
        <v>--</v>
      </c>
      <c r="G85" s="48"/>
      <c r="H85" s="46"/>
      <c r="I85" s="49"/>
      <c r="J85" s="50"/>
      <c r="K85" s="51"/>
      <c r="L85" s="52">
        <f t="shared" si="38"/>
        <v>31</v>
      </c>
      <c r="M85" s="52">
        <f t="shared" si="38"/>
        <v>31</v>
      </c>
      <c r="N85" s="53"/>
      <c r="O85" s="54"/>
      <c r="P85" s="55">
        <f t="shared" si="36"/>
        <v>0</v>
      </c>
      <c r="Q85" s="71"/>
      <c r="R85" s="56" t="str">
        <f t="shared" si="39"/>
        <v/>
      </c>
      <c r="S85" s="57" t="str">
        <f t="shared" si="40"/>
        <v/>
      </c>
      <c r="T85" s="58"/>
      <c r="V85" s="137" t="str">
        <f>V9</f>
        <v>--</v>
      </c>
      <c r="W85" s="138">
        <f>VLOOKUP($V85,$V$8:$AB$42,COLUMNS($V$8:X$8),0)</f>
        <v>284</v>
      </c>
      <c r="X85" s="138">
        <f>VLOOKUP($V85,$V$8:$AB$42,COLUMNS($V$8:Z$8),0)</f>
        <v>0</v>
      </c>
      <c r="Y85" s="139">
        <f>VLOOKUP($V85,$V$8:$AB$42,COLUMNS($V$8:AB$8),0)</f>
        <v>0</v>
      </c>
      <c r="Z85" s="139" cm="1">
        <f t="array" ref="Z85">IFERROR(IFERROR(AVERAGE(LARGE(IF($F$9:$F$1004=V85,$Q$9:$Q$1004,""),ROW($B$1:$B$10))),AVERAGEIFS($Q$9:$Q$1004,$F$9:$F$1004,V85)),"")</f>
        <v>0</v>
      </c>
      <c r="AB85" s="45">
        <v>1</v>
      </c>
      <c r="AC85" s="45" t="str">
        <f>IFERROR(INDEX($B$8:$T$620,MATCH($AB85,$B$8:$B$620,0),MATCH(AC$84,$B$8:$T$8,0)),"")</f>
        <v/>
      </c>
      <c r="AD85" s="45" t="str">
        <f t="shared" ref="AD85:AK100" si="41">IFERROR(INDEX($B$8:$T$620,MATCH($AB85,$B$8:$B$620,0),MATCH(AD$84,$B$8:$T$8,0)),"")</f>
        <v/>
      </c>
      <c r="AE85" s="140" t="str">
        <f t="shared" si="41"/>
        <v/>
      </c>
      <c r="AF85" s="141" t="str">
        <f t="shared" si="41"/>
        <v/>
      </c>
      <c r="AG85" s="141" t="str">
        <f t="shared" si="41"/>
        <v/>
      </c>
      <c r="AH85" s="141" t="str">
        <f t="shared" si="41"/>
        <v/>
      </c>
      <c r="AI85" s="142" t="e">
        <f t="shared" ref="AI85:AI104" si="42">(AH85-AF85)/365*12</f>
        <v>#VALUE!</v>
      </c>
      <c r="AJ85" s="126" t="str">
        <f t="shared" si="41"/>
        <v/>
      </c>
      <c r="AK85" s="126" t="str">
        <f t="shared" si="41"/>
        <v/>
      </c>
      <c r="AL85" s="143" t="e">
        <f>AJ85/$AE85</f>
        <v>#VALUE!</v>
      </c>
      <c r="AM85" s="143" t="e">
        <f>AK85/$AE85</f>
        <v>#VALUE!</v>
      </c>
      <c r="AN85" s="144" t="e">
        <f>1-AK85/AJ85</f>
        <v>#VALUE!</v>
      </c>
    </row>
    <row r="86" spans="2:40" x14ac:dyDescent="0.35">
      <c r="B86" s="45" t="str">
        <f>IF(J86="","",RANK($J86,$J$9:$J$620,0)+COUNTIF($J$9:J86,$J86)-1)</f>
        <v/>
      </c>
      <c r="C86" s="46"/>
      <c r="D86" s="46"/>
      <c r="E86" s="46"/>
      <c r="F86" s="47" t="str">
        <f t="shared" si="37"/>
        <v>--</v>
      </c>
      <c r="G86" s="48"/>
      <c r="H86" s="46"/>
      <c r="I86" s="49"/>
      <c r="J86" s="50"/>
      <c r="K86" s="51"/>
      <c r="L86" s="52">
        <f t="shared" si="38"/>
        <v>31</v>
      </c>
      <c r="M86" s="52">
        <f t="shared" si="38"/>
        <v>31</v>
      </c>
      <c r="N86" s="53"/>
      <c r="O86" s="54"/>
      <c r="P86" s="55">
        <f t="shared" si="36"/>
        <v>0</v>
      </c>
      <c r="Q86" s="71"/>
      <c r="R86" s="56" t="str">
        <f t="shared" si="39"/>
        <v/>
      </c>
      <c r="S86" s="57" t="str">
        <f t="shared" si="40"/>
        <v/>
      </c>
      <c r="T86" s="58"/>
      <c r="V86" s="47">
        <f t="shared" ref="V86:V107" si="43">V10</f>
        <v>0</v>
      </c>
      <c r="W86" s="45">
        <f>VLOOKUP($V86,$V$8:$AB$42,COLUMNS($V$8:X$8),0)</f>
        <v>0</v>
      </c>
      <c r="X86" s="45">
        <f>VLOOKUP($V86,$V$8:$AB$42,COLUMNS($V$8:Z$8),0)</f>
        <v>0</v>
      </c>
      <c r="Y86" s="145">
        <f>VLOOKUP($V86,$V$8:$AB$42,COLUMNS($V$8:AB$8),0)</f>
        <v>0</v>
      </c>
      <c r="Z86" s="145" cm="1">
        <f t="array" ref="Z86">IFERROR(IFERROR(AVERAGE(LARGE(IF($F$9:$F$1004=V86,$Q$9:$Q$1004,""),ROW($B$1:$B$10))),AVERAGEIFS($Q$9:$Q$1004,$F$9:$F$1004,V86)),"")</f>
        <v>0</v>
      </c>
      <c r="AB86" s="45">
        <f>AB85+1</f>
        <v>2</v>
      </c>
      <c r="AC86" s="45" t="str">
        <f t="shared" ref="AC86:AK101" si="44">IFERROR(INDEX($B$8:$T$620,MATCH($AB86,$B$8:$B$620,0),MATCH(AC$84,$B$8:$T$8,0)),"")</f>
        <v/>
      </c>
      <c r="AD86" s="45" t="str">
        <f t="shared" si="41"/>
        <v/>
      </c>
      <c r="AE86" s="140" t="str">
        <f t="shared" si="41"/>
        <v/>
      </c>
      <c r="AF86" s="141" t="str">
        <f t="shared" si="41"/>
        <v/>
      </c>
      <c r="AG86" s="141" t="str">
        <f t="shared" si="41"/>
        <v/>
      </c>
      <c r="AH86" s="141" t="str">
        <f t="shared" si="41"/>
        <v/>
      </c>
      <c r="AI86" s="142" t="e">
        <f t="shared" si="42"/>
        <v>#VALUE!</v>
      </c>
      <c r="AJ86" s="126" t="str">
        <f t="shared" si="41"/>
        <v/>
      </c>
      <c r="AK86" s="126" t="str">
        <f t="shared" si="41"/>
        <v/>
      </c>
      <c r="AL86" s="143" t="e">
        <f t="shared" ref="AL86:AM104" si="45">AJ86/$AE86</f>
        <v>#VALUE!</v>
      </c>
      <c r="AM86" s="143" t="e">
        <f t="shared" si="45"/>
        <v>#VALUE!</v>
      </c>
      <c r="AN86" s="144" t="e">
        <f t="shared" ref="AN86:AN106" si="46">1-AK86/AJ86</f>
        <v>#VALUE!</v>
      </c>
    </row>
    <row r="87" spans="2:40" x14ac:dyDescent="0.35">
      <c r="B87" s="45" t="str">
        <f>IF(J87="","",RANK($J87,$J$9:$J$620,0)+COUNTIF($J$9:J87,$J87)-1)</f>
        <v/>
      </c>
      <c r="C87" s="46"/>
      <c r="D87" s="46"/>
      <c r="E87" s="46"/>
      <c r="F87" s="47" t="str">
        <f t="shared" si="37"/>
        <v>--</v>
      </c>
      <c r="G87" s="48"/>
      <c r="H87" s="46"/>
      <c r="I87" s="49"/>
      <c r="J87" s="50"/>
      <c r="K87" s="51"/>
      <c r="L87" s="52">
        <f t="shared" si="38"/>
        <v>31</v>
      </c>
      <c r="M87" s="52">
        <f t="shared" si="38"/>
        <v>31</v>
      </c>
      <c r="N87" s="53"/>
      <c r="O87" s="54"/>
      <c r="P87" s="55">
        <f t="shared" si="36"/>
        <v>0</v>
      </c>
      <c r="Q87" s="71"/>
      <c r="R87" s="56" t="str">
        <f t="shared" si="39"/>
        <v/>
      </c>
      <c r="S87" s="57" t="str">
        <f t="shared" si="40"/>
        <v/>
      </c>
      <c r="T87" s="58"/>
      <c r="V87" s="47">
        <f t="shared" si="43"/>
        <v>0</v>
      </c>
      <c r="W87" s="45">
        <f>VLOOKUP($V87,$V$8:$AB$42,COLUMNS($V$8:X$8),0)</f>
        <v>0</v>
      </c>
      <c r="X87" s="45">
        <f>VLOOKUP($V87,$V$8:$AB$42,COLUMNS($V$8:Z$8),0)</f>
        <v>0</v>
      </c>
      <c r="Y87" s="145">
        <f>VLOOKUP($V87,$V$8:$AB$42,COLUMNS($V$8:AB$8),0)</f>
        <v>0</v>
      </c>
      <c r="Z87" s="145" cm="1">
        <f t="array" ref="Z87">IFERROR(IFERROR(AVERAGE(LARGE(IF($F$9:$F$1004=V87,$Q$9:$Q$1004,""),ROW($B$1:$B$10))),AVERAGEIFS($Q$9:$Q$1004,$F$9:$F$1004,V87)),"")</f>
        <v>0</v>
      </c>
      <c r="AB87" s="45">
        <f t="shared" ref="AB87:AB104" si="47">AB86+1</f>
        <v>3</v>
      </c>
      <c r="AC87" s="45" t="str">
        <f t="shared" si="44"/>
        <v/>
      </c>
      <c r="AD87" s="45" t="str">
        <f t="shared" si="41"/>
        <v/>
      </c>
      <c r="AE87" s="140" t="str">
        <f t="shared" si="41"/>
        <v/>
      </c>
      <c r="AF87" s="141" t="str">
        <f t="shared" si="41"/>
        <v/>
      </c>
      <c r="AG87" s="141" t="str">
        <f t="shared" si="41"/>
        <v/>
      </c>
      <c r="AH87" s="141" t="str">
        <f t="shared" si="41"/>
        <v/>
      </c>
      <c r="AI87" s="142" t="e">
        <f t="shared" si="42"/>
        <v>#VALUE!</v>
      </c>
      <c r="AJ87" s="126" t="str">
        <f t="shared" si="41"/>
        <v/>
      </c>
      <c r="AK87" s="126" t="str">
        <f t="shared" si="41"/>
        <v/>
      </c>
      <c r="AL87" s="143" t="e">
        <f t="shared" si="45"/>
        <v>#VALUE!</v>
      </c>
      <c r="AM87" s="143" t="e">
        <f t="shared" si="45"/>
        <v>#VALUE!</v>
      </c>
      <c r="AN87" s="144" t="e">
        <f t="shared" si="46"/>
        <v>#VALUE!</v>
      </c>
    </row>
    <row r="88" spans="2:40" x14ac:dyDescent="0.35">
      <c r="B88" s="45" t="str">
        <f>IF(J88="","",RANK($J88,$J$9:$J$620,0)+COUNTIF($J$9:J88,$J88)-1)</f>
        <v/>
      </c>
      <c r="C88" s="46"/>
      <c r="D88" s="46"/>
      <c r="E88" s="46"/>
      <c r="F88" s="47" t="str">
        <f t="shared" si="37"/>
        <v>--</v>
      </c>
      <c r="G88" s="48"/>
      <c r="H88" s="46"/>
      <c r="I88" s="49"/>
      <c r="J88" s="50"/>
      <c r="K88" s="51"/>
      <c r="L88" s="52">
        <f t="shared" si="38"/>
        <v>31</v>
      </c>
      <c r="M88" s="52">
        <f t="shared" si="38"/>
        <v>31</v>
      </c>
      <c r="N88" s="53"/>
      <c r="O88" s="54"/>
      <c r="P88" s="55">
        <f t="shared" si="36"/>
        <v>0</v>
      </c>
      <c r="Q88" s="71"/>
      <c r="R88" s="56" t="str">
        <f t="shared" si="39"/>
        <v/>
      </c>
      <c r="S88" s="57" t="str">
        <f t="shared" si="40"/>
        <v/>
      </c>
      <c r="T88" s="58"/>
      <c r="V88" s="47">
        <f t="shared" si="43"/>
        <v>0</v>
      </c>
      <c r="W88" s="45">
        <f>VLOOKUP($V88,$V$8:$AB$42,COLUMNS($V$8:X$8),0)</f>
        <v>0</v>
      </c>
      <c r="X88" s="45">
        <f>VLOOKUP($V88,$V$8:$AB$42,COLUMNS($V$8:Z$8),0)</f>
        <v>0</v>
      </c>
      <c r="Y88" s="145">
        <f>VLOOKUP($V88,$V$8:$AB$42,COLUMNS($V$8:AB$8),0)</f>
        <v>0</v>
      </c>
      <c r="Z88" s="145" cm="1">
        <f t="array" ref="Z88">IFERROR(IFERROR(AVERAGE(LARGE(IF($F$9:$F$1004=V88,$Q$9:$Q$1004,""),ROW($B$1:$B$10))),AVERAGEIFS($Q$9:$Q$1004,$F$9:$F$1004,V88)),"")</f>
        <v>0</v>
      </c>
      <c r="AB88" s="45">
        <f t="shared" si="47"/>
        <v>4</v>
      </c>
      <c r="AC88" s="45" t="str">
        <f t="shared" si="44"/>
        <v/>
      </c>
      <c r="AD88" s="45" t="str">
        <f t="shared" si="41"/>
        <v/>
      </c>
      <c r="AE88" s="140" t="str">
        <f t="shared" si="41"/>
        <v/>
      </c>
      <c r="AF88" s="141" t="str">
        <f t="shared" si="41"/>
        <v/>
      </c>
      <c r="AG88" s="141" t="str">
        <f t="shared" si="41"/>
        <v/>
      </c>
      <c r="AH88" s="141" t="str">
        <f t="shared" si="41"/>
        <v/>
      </c>
      <c r="AI88" s="142" t="e">
        <f t="shared" si="42"/>
        <v>#VALUE!</v>
      </c>
      <c r="AJ88" s="126" t="str">
        <f t="shared" si="41"/>
        <v/>
      </c>
      <c r="AK88" s="126" t="str">
        <f t="shared" si="41"/>
        <v/>
      </c>
      <c r="AL88" s="143" t="e">
        <f t="shared" si="45"/>
        <v>#VALUE!</v>
      </c>
      <c r="AM88" s="143" t="e">
        <f t="shared" si="45"/>
        <v>#VALUE!</v>
      </c>
      <c r="AN88" s="144" t="e">
        <f t="shared" si="46"/>
        <v>#VALUE!</v>
      </c>
    </row>
    <row r="89" spans="2:40" x14ac:dyDescent="0.35">
      <c r="B89" s="45" t="str">
        <f>IF(J89="","",RANK($J89,$J$9:$J$620,0)+COUNTIF($J$9:J89,$J89)-1)</f>
        <v/>
      </c>
      <c r="C89" s="46"/>
      <c r="D89" s="46"/>
      <c r="E89" s="46"/>
      <c r="F89" s="47" t="str">
        <f t="shared" si="37"/>
        <v>--</v>
      </c>
      <c r="G89" s="48"/>
      <c r="H89" s="46"/>
      <c r="I89" s="49"/>
      <c r="J89" s="50"/>
      <c r="K89" s="51"/>
      <c r="L89" s="52">
        <f t="shared" si="38"/>
        <v>31</v>
      </c>
      <c r="M89" s="52">
        <f t="shared" si="38"/>
        <v>31</v>
      </c>
      <c r="N89" s="53"/>
      <c r="O89" s="54"/>
      <c r="P89" s="55">
        <f t="shared" si="36"/>
        <v>0</v>
      </c>
      <c r="Q89" s="71"/>
      <c r="R89" s="56" t="str">
        <f t="shared" si="39"/>
        <v/>
      </c>
      <c r="S89" s="57" t="str">
        <f t="shared" si="40"/>
        <v/>
      </c>
      <c r="T89" s="58"/>
      <c r="V89" s="47">
        <f t="shared" si="43"/>
        <v>0</v>
      </c>
      <c r="W89" s="45">
        <f>VLOOKUP($V89,$V$8:$AB$42,COLUMNS($V$8:X$8),0)</f>
        <v>0</v>
      </c>
      <c r="X89" s="45">
        <f>VLOOKUP($V89,$V$8:$AB$42,COLUMNS($V$8:Z$8),0)</f>
        <v>0</v>
      </c>
      <c r="Y89" s="145">
        <f>VLOOKUP($V89,$V$8:$AB$42,COLUMNS($V$8:AB$8),0)</f>
        <v>0</v>
      </c>
      <c r="Z89" s="145" cm="1">
        <f t="array" ref="Z89">IFERROR(IFERROR(AVERAGE(LARGE(IF($F$9:$F$1004=V89,$Q$9:$Q$1004,""),ROW($B$1:$B$10))),AVERAGEIFS($Q$9:$Q$1004,$F$9:$F$1004,V89)),"")</f>
        <v>0</v>
      </c>
      <c r="AB89" s="45">
        <f t="shared" si="47"/>
        <v>5</v>
      </c>
      <c r="AC89" s="45" t="str">
        <f t="shared" si="44"/>
        <v/>
      </c>
      <c r="AD89" s="45" t="str">
        <f t="shared" si="41"/>
        <v/>
      </c>
      <c r="AE89" s="140" t="str">
        <f t="shared" si="41"/>
        <v/>
      </c>
      <c r="AF89" s="141" t="str">
        <f t="shared" si="41"/>
        <v/>
      </c>
      <c r="AG89" s="141" t="str">
        <f t="shared" si="41"/>
        <v/>
      </c>
      <c r="AH89" s="141" t="str">
        <f t="shared" si="41"/>
        <v/>
      </c>
      <c r="AI89" s="142" t="e">
        <f t="shared" si="42"/>
        <v>#VALUE!</v>
      </c>
      <c r="AJ89" s="126" t="str">
        <f t="shared" si="41"/>
        <v/>
      </c>
      <c r="AK89" s="126" t="str">
        <f t="shared" si="41"/>
        <v/>
      </c>
      <c r="AL89" s="143" t="e">
        <f t="shared" si="45"/>
        <v>#VALUE!</v>
      </c>
      <c r="AM89" s="143" t="e">
        <f t="shared" si="45"/>
        <v>#VALUE!</v>
      </c>
      <c r="AN89" s="144" t="e">
        <f t="shared" si="46"/>
        <v>#VALUE!</v>
      </c>
    </row>
    <row r="90" spans="2:40" x14ac:dyDescent="0.35">
      <c r="B90" s="45" t="str">
        <f>IF(J90="","",RANK($J90,$J$9:$J$620,0)+COUNTIF($J$9:J90,$J90)-1)</f>
        <v/>
      </c>
      <c r="C90" s="46"/>
      <c r="D90" s="46"/>
      <c r="E90" s="46"/>
      <c r="F90" s="47" t="str">
        <f t="shared" si="37"/>
        <v>--</v>
      </c>
      <c r="G90" s="48"/>
      <c r="H90" s="46"/>
      <c r="I90" s="49"/>
      <c r="J90" s="50"/>
      <c r="K90" s="51"/>
      <c r="L90" s="52">
        <f t="shared" si="38"/>
        <v>31</v>
      </c>
      <c r="M90" s="52">
        <f t="shared" si="38"/>
        <v>31</v>
      </c>
      <c r="N90" s="53"/>
      <c r="O90" s="54"/>
      <c r="P90" s="55">
        <f t="shared" si="36"/>
        <v>0</v>
      </c>
      <c r="Q90" s="46"/>
      <c r="R90" s="56" t="str">
        <f t="shared" si="39"/>
        <v/>
      </c>
      <c r="S90" s="57" t="str">
        <f t="shared" si="40"/>
        <v/>
      </c>
      <c r="T90" s="58"/>
      <c r="V90" s="47">
        <f t="shared" si="43"/>
        <v>0</v>
      </c>
      <c r="W90" s="45">
        <f>VLOOKUP($V90,$V$8:$AB$42,COLUMNS($V$8:X$8),0)</f>
        <v>0</v>
      </c>
      <c r="X90" s="45">
        <f>VLOOKUP($V90,$V$8:$AB$42,COLUMNS($V$8:Z$8),0)</f>
        <v>0</v>
      </c>
      <c r="Y90" s="145">
        <f>VLOOKUP($V90,$V$8:$AB$42,COLUMNS($V$8:AB$8),0)</f>
        <v>0</v>
      </c>
      <c r="Z90" s="145" cm="1">
        <f t="array" ref="Z90">IFERROR(IFERROR(AVERAGE(LARGE(IF($F$9:$F$1004=V90,$Q$9:$Q$1004,""),ROW($B$1:$B$10))),AVERAGEIFS($Q$9:$Q$1004,$F$9:$F$1004,V90)),"")</f>
        <v>0</v>
      </c>
      <c r="AB90" s="45">
        <f t="shared" si="47"/>
        <v>6</v>
      </c>
      <c r="AC90" s="45" t="str">
        <f t="shared" si="44"/>
        <v/>
      </c>
      <c r="AD90" s="45" t="str">
        <f t="shared" si="41"/>
        <v/>
      </c>
      <c r="AE90" s="140" t="str">
        <f t="shared" si="41"/>
        <v/>
      </c>
      <c r="AF90" s="141" t="str">
        <f t="shared" si="41"/>
        <v/>
      </c>
      <c r="AG90" s="141" t="str">
        <f t="shared" si="41"/>
        <v/>
      </c>
      <c r="AH90" s="141" t="str">
        <f t="shared" si="41"/>
        <v/>
      </c>
      <c r="AI90" s="142" t="e">
        <f t="shared" si="42"/>
        <v>#VALUE!</v>
      </c>
      <c r="AJ90" s="126" t="str">
        <f t="shared" si="41"/>
        <v/>
      </c>
      <c r="AK90" s="126" t="str">
        <f t="shared" si="41"/>
        <v/>
      </c>
      <c r="AL90" s="143" t="e">
        <f t="shared" si="45"/>
        <v>#VALUE!</v>
      </c>
      <c r="AM90" s="143" t="e">
        <f t="shared" si="45"/>
        <v>#VALUE!</v>
      </c>
      <c r="AN90" s="144" t="e">
        <f t="shared" si="46"/>
        <v>#VALUE!</v>
      </c>
    </row>
    <row r="91" spans="2:40" x14ac:dyDescent="0.35">
      <c r="B91" s="45" t="str">
        <f>IF(J91="","",RANK($J91,$J$9:$J$620,0)+COUNTIF($J$9:J91,$J91)-1)</f>
        <v/>
      </c>
      <c r="C91" s="46"/>
      <c r="D91" s="46"/>
      <c r="E91" s="46"/>
      <c r="F91" s="47" t="str">
        <f t="shared" si="37"/>
        <v>--</v>
      </c>
      <c r="G91" s="48"/>
      <c r="H91" s="46"/>
      <c r="I91" s="49"/>
      <c r="J91" s="50"/>
      <c r="K91" s="51"/>
      <c r="L91" s="52">
        <f t="shared" si="38"/>
        <v>31</v>
      </c>
      <c r="M91" s="52">
        <f t="shared" si="38"/>
        <v>31</v>
      </c>
      <c r="N91" s="53"/>
      <c r="O91" s="54"/>
      <c r="P91" s="55">
        <f t="shared" si="36"/>
        <v>0</v>
      </c>
      <c r="Q91" s="71"/>
      <c r="R91" s="56" t="str">
        <f t="shared" si="39"/>
        <v/>
      </c>
      <c r="S91" s="57" t="str">
        <f t="shared" si="40"/>
        <v/>
      </c>
      <c r="T91" s="58"/>
      <c r="V91" s="47">
        <f t="shared" si="43"/>
        <v>0</v>
      </c>
      <c r="W91" s="45">
        <f>VLOOKUP($V91,$V$8:$AB$42,COLUMNS($V$8:X$8),0)</f>
        <v>0</v>
      </c>
      <c r="X91" s="45">
        <f>VLOOKUP($V91,$V$8:$AB$42,COLUMNS($V$8:Z$8),0)</f>
        <v>0</v>
      </c>
      <c r="Y91" s="145">
        <f>VLOOKUP($V91,$V$8:$AB$42,COLUMNS($V$8:AB$8),0)</f>
        <v>0</v>
      </c>
      <c r="Z91" s="145" cm="1">
        <f t="array" ref="Z91">IFERROR(IFERROR(AVERAGE(LARGE(IF($F$9:$F$1004=V91,$Q$9:$Q$1004,""),ROW($B$1:$B$10))),AVERAGEIFS($Q$9:$Q$1004,$F$9:$F$1004,V91)),"")</f>
        <v>0</v>
      </c>
      <c r="AB91" s="45">
        <f t="shared" si="47"/>
        <v>7</v>
      </c>
      <c r="AC91" s="45" t="str">
        <f t="shared" si="44"/>
        <v/>
      </c>
      <c r="AD91" s="45" t="str">
        <f t="shared" si="41"/>
        <v/>
      </c>
      <c r="AE91" s="140" t="str">
        <f t="shared" si="41"/>
        <v/>
      </c>
      <c r="AF91" s="141" t="str">
        <f t="shared" si="41"/>
        <v/>
      </c>
      <c r="AG91" s="141" t="str">
        <f t="shared" si="41"/>
        <v/>
      </c>
      <c r="AH91" s="141" t="str">
        <f t="shared" si="41"/>
        <v/>
      </c>
      <c r="AI91" s="142" t="e">
        <f t="shared" si="42"/>
        <v>#VALUE!</v>
      </c>
      <c r="AJ91" s="126" t="str">
        <f t="shared" si="41"/>
        <v/>
      </c>
      <c r="AK91" s="126" t="str">
        <f t="shared" si="41"/>
        <v/>
      </c>
      <c r="AL91" s="143" t="e">
        <f t="shared" si="45"/>
        <v>#VALUE!</v>
      </c>
      <c r="AM91" s="143" t="e">
        <f t="shared" si="45"/>
        <v>#VALUE!</v>
      </c>
      <c r="AN91" s="144" t="e">
        <f t="shared" si="46"/>
        <v>#VALUE!</v>
      </c>
    </row>
    <row r="92" spans="2:40" x14ac:dyDescent="0.35">
      <c r="B92" s="45" t="str">
        <f>IF(J92="","",RANK($J92,$J$9:$J$620,0)+COUNTIF($J$9:J92,$J92)-1)</f>
        <v/>
      </c>
      <c r="C92" s="46"/>
      <c r="D92" s="46"/>
      <c r="E92" s="46"/>
      <c r="F92" s="47" t="str">
        <f t="shared" si="37"/>
        <v>--</v>
      </c>
      <c r="G92" s="48"/>
      <c r="H92" s="46"/>
      <c r="I92" s="49"/>
      <c r="J92" s="50"/>
      <c r="K92" s="51"/>
      <c r="L92" s="52">
        <f t="shared" si="38"/>
        <v>31</v>
      </c>
      <c r="M92" s="52">
        <f t="shared" si="38"/>
        <v>31</v>
      </c>
      <c r="N92" s="53"/>
      <c r="O92" s="54"/>
      <c r="P92" s="55">
        <f t="shared" si="36"/>
        <v>0</v>
      </c>
      <c r="Q92" s="71"/>
      <c r="R92" s="56" t="str">
        <f t="shared" si="39"/>
        <v/>
      </c>
      <c r="S92" s="57" t="str">
        <f t="shared" si="40"/>
        <v/>
      </c>
      <c r="T92" s="58"/>
      <c r="V92" s="47">
        <f t="shared" si="43"/>
        <v>0</v>
      </c>
      <c r="W92" s="45">
        <f>VLOOKUP($V92,$V$8:$AB$42,COLUMNS($V$8:X$8),0)</f>
        <v>0</v>
      </c>
      <c r="X92" s="45">
        <f>VLOOKUP($V92,$V$8:$AB$42,COLUMNS($V$8:Z$8),0)</f>
        <v>0</v>
      </c>
      <c r="Y92" s="145">
        <f>VLOOKUP($V92,$V$8:$AB$42,COLUMNS($V$8:AB$8),0)</f>
        <v>0</v>
      </c>
      <c r="Z92" s="145" cm="1">
        <f t="array" ref="Z92">IFERROR(IFERROR(AVERAGE(LARGE(IF($F$9:$F$1004=V92,$Q$9:$Q$1004,""),ROW($B$1:$B$10))),AVERAGEIFS($Q$9:$Q$1004,$F$9:$F$1004,V92)),"")</f>
        <v>0</v>
      </c>
      <c r="AB92" s="45">
        <f t="shared" si="47"/>
        <v>8</v>
      </c>
      <c r="AC92" s="45" t="str">
        <f t="shared" si="44"/>
        <v/>
      </c>
      <c r="AD92" s="45" t="str">
        <f t="shared" si="41"/>
        <v/>
      </c>
      <c r="AE92" s="140" t="str">
        <f t="shared" si="41"/>
        <v/>
      </c>
      <c r="AF92" s="141" t="str">
        <f t="shared" si="41"/>
        <v/>
      </c>
      <c r="AG92" s="141" t="str">
        <f t="shared" si="41"/>
        <v/>
      </c>
      <c r="AH92" s="141" t="str">
        <f t="shared" si="41"/>
        <v/>
      </c>
      <c r="AI92" s="142" t="e">
        <f t="shared" si="42"/>
        <v>#VALUE!</v>
      </c>
      <c r="AJ92" s="126" t="str">
        <f t="shared" si="41"/>
        <v/>
      </c>
      <c r="AK92" s="126" t="str">
        <f t="shared" si="41"/>
        <v/>
      </c>
      <c r="AL92" s="143" t="e">
        <f t="shared" si="45"/>
        <v>#VALUE!</v>
      </c>
      <c r="AM92" s="143" t="e">
        <f t="shared" si="45"/>
        <v>#VALUE!</v>
      </c>
      <c r="AN92" s="144" t="e">
        <f t="shared" si="46"/>
        <v>#VALUE!</v>
      </c>
    </row>
    <row r="93" spans="2:40" x14ac:dyDescent="0.35">
      <c r="B93" s="45" t="str">
        <f>IF(J93="","",RANK($J93,$J$9:$J$620,0)+COUNTIF($J$9:J93,$J93)-1)</f>
        <v/>
      </c>
      <c r="C93" s="46"/>
      <c r="D93" s="46"/>
      <c r="E93" s="46"/>
      <c r="F93" s="47" t="str">
        <f t="shared" si="37"/>
        <v>--</v>
      </c>
      <c r="G93" s="48"/>
      <c r="H93" s="46"/>
      <c r="I93" s="49"/>
      <c r="J93" s="50"/>
      <c r="K93" s="49"/>
      <c r="L93" s="52">
        <f t="shared" si="38"/>
        <v>31</v>
      </c>
      <c r="M93" s="52">
        <f t="shared" si="38"/>
        <v>31</v>
      </c>
      <c r="N93" s="53"/>
      <c r="O93" s="54"/>
      <c r="P93" s="55">
        <f t="shared" si="36"/>
        <v>0</v>
      </c>
      <c r="Q93" s="71"/>
      <c r="R93" s="56" t="str">
        <f t="shared" si="39"/>
        <v/>
      </c>
      <c r="S93" s="57" t="str">
        <f t="shared" si="40"/>
        <v/>
      </c>
      <c r="T93" s="58"/>
      <c r="V93" s="47">
        <f t="shared" si="43"/>
        <v>0</v>
      </c>
      <c r="W93" s="45">
        <f>VLOOKUP($V93,$V$8:$AB$42,COLUMNS($V$8:X$8),0)</f>
        <v>0</v>
      </c>
      <c r="X93" s="45">
        <f>VLOOKUP($V93,$V$8:$AB$42,COLUMNS($V$8:Z$8),0)</f>
        <v>0</v>
      </c>
      <c r="Y93" s="145">
        <f>VLOOKUP($V93,$V$8:$AB$42,COLUMNS($V$8:AB$8),0)</f>
        <v>0</v>
      </c>
      <c r="Z93" s="145" cm="1">
        <f t="array" ref="Z93">IFERROR(IFERROR(AVERAGE(LARGE(IF($F$9:$F$1004=V93,$Q$9:$Q$1004,""),ROW($B$1:$B$10))),AVERAGEIFS($Q$9:$Q$1004,$F$9:$F$1004,V93)),"")</f>
        <v>0</v>
      </c>
      <c r="AB93" s="45">
        <f t="shared" si="47"/>
        <v>9</v>
      </c>
      <c r="AC93" s="45" t="str">
        <f t="shared" si="44"/>
        <v/>
      </c>
      <c r="AD93" s="45" t="str">
        <f t="shared" si="41"/>
        <v/>
      </c>
      <c r="AE93" s="140" t="str">
        <f t="shared" si="41"/>
        <v/>
      </c>
      <c r="AF93" s="141" t="str">
        <f t="shared" si="41"/>
        <v/>
      </c>
      <c r="AG93" s="141" t="str">
        <f t="shared" si="41"/>
        <v/>
      </c>
      <c r="AH93" s="141" t="str">
        <f t="shared" si="41"/>
        <v/>
      </c>
      <c r="AI93" s="142" t="e">
        <f t="shared" si="42"/>
        <v>#VALUE!</v>
      </c>
      <c r="AJ93" s="126" t="str">
        <f t="shared" si="41"/>
        <v/>
      </c>
      <c r="AK93" s="126" t="str">
        <f t="shared" si="41"/>
        <v/>
      </c>
      <c r="AL93" s="143" t="e">
        <f t="shared" si="45"/>
        <v>#VALUE!</v>
      </c>
      <c r="AM93" s="143" t="e">
        <f t="shared" si="45"/>
        <v>#VALUE!</v>
      </c>
      <c r="AN93" s="144" t="e">
        <f t="shared" si="46"/>
        <v>#VALUE!</v>
      </c>
    </row>
    <row r="94" spans="2:40" x14ac:dyDescent="0.35">
      <c r="B94" s="45" t="str">
        <f>IF(J94="","",RANK($J94,$J$9:$J$620,0)+COUNTIF($J$9:J94,$J94)-1)</f>
        <v/>
      </c>
      <c r="C94" s="46"/>
      <c r="D94" s="46"/>
      <c r="E94" s="46"/>
      <c r="F94" s="47" t="str">
        <f t="shared" si="37"/>
        <v>--</v>
      </c>
      <c r="G94" s="48"/>
      <c r="H94" s="46"/>
      <c r="I94" s="49"/>
      <c r="J94" s="49"/>
      <c r="K94" s="49"/>
      <c r="L94" s="52">
        <f t="shared" si="38"/>
        <v>31</v>
      </c>
      <c r="M94" s="52">
        <f t="shared" si="38"/>
        <v>31</v>
      </c>
      <c r="N94" s="53"/>
      <c r="O94" s="54"/>
      <c r="P94" s="55">
        <f t="shared" si="36"/>
        <v>0</v>
      </c>
      <c r="Q94" s="71"/>
      <c r="R94" s="56" t="str">
        <f t="shared" si="39"/>
        <v/>
      </c>
      <c r="S94" s="57" t="str">
        <f t="shared" si="40"/>
        <v/>
      </c>
      <c r="T94" s="58"/>
      <c r="V94" s="47">
        <f t="shared" si="43"/>
        <v>0</v>
      </c>
      <c r="W94" s="45">
        <f>VLOOKUP($V94,$V$8:$AB$42,COLUMNS($V$8:X$8),0)</f>
        <v>0</v>
      </c>
      <c r="X94" s="45">
        <f>VLOOKUP($V94,$V$8:$AB$42,COLUMNS($V$8:Z$8),0)</f>
        <v>0</v>
      </c>
      <c r="Y94" s="145">
        <f>VLOOKUP($V94,$V$8:$AB$42,COLUMNS($V$8:AB$8),0)</f>
        <v>0</v>
      </c>
      <c r="Z94" s="145" cm="1">
        <f t="array" ref="Z94">IFERROR(IFERROR(AVERAGE(LARGE(IF($F$9:$F$1004=V94,$Q$9:$Q$1004,""),ROW($B$1:$B$10))),AVERAGEIFS($Q$9:$Q$1004,$F$9:$F$1004,V94)),"")</f>
        <v>0</v>
      </c>
      <c r="AB94" s="45">
        <f t="shared" si="47"/>
        <v>10</v>
      </c>
      <c r="AC94" s="45" t="str">
        <f t="shared" si="44"/>
        <v/>
      </c>
      <c r="AD94" s="45" t="str">
        <f t="shared" si="41"/>
        <v/>
      </c>
      <c r="AE94" s="140" t="str">
        <f t="shared" si="41"/>
        <v/>
      </c>
      <c r="AF94" s="141" t="str">
        <f t="shared" si="41"/>
        <v/>
      </c>
      <c r="AG94" s="141" t="str">
        <f t="shared" si="41"/>
        <v/>
      </c>
      <c r="AH94" s="141" t="str">
        <f t="shared" si="41"/>
        <v/>
      </c>
      <c r="AI94" s="142" t="e">
        <f t="shared" si="42"/>
        <v>#VALUE!</v>
      </c>
      <c r="AJ94" s="126" t="str">
        <f t="shared" si="41"/>
        <v/>
      </c>
      <c r="AK94" s="126" t="str">
        <f t="shared" si="41"/>
        <v/>
      </c>
      <c r="AL94" s="143" t="e">
        <f t="shared" si="45"/>
        <v>#VALUE!</v>
      </c>
      <c r="AM94" s="143" t="e">
        <f t="shared" si="45"/>
        <v>#VALUE!</v>
      </c>
      <c r="AN94" s="144" t="e">
        <f t="shared" si="46"/>
        <v>#VALUE!</v>
      </c>
    </row>
    <row r="95" spans="2:40" x14ac:dyDescent="0.35">
      <c r="B95" s="45" t="str">
        <f>IF(J95="","",RANK($J95,$J$9:$J$620,0)+COUNTIF($J$9:J95,$J95)-1)</f>
        <v/>
      </c>
      <c r="C95" s="46"/>
      <c r="D95" s="46"/>
      <c r="E95" s="46"/>
      <c r="F95" s="47" t="str">
        <f t="shared" si="37"/>
        <v>--</v>
      </c>
      <c r="G95" s="48"/>
      <c r="H95" s="46"/>
      <c r="I95" s="49"/>
      <c r="J95" s="50"/>
      <c r="K95" s="49"/>
      <c r="L95" s="52">
        <f t="shared" si="38"/>
        <v>31</v>
      </c>
      <c r="M95" s="52">
        <f t="shared" si="38"/>
        <v>31</v>
      </c>
      <c r="N95" s="53"/>
      <c r="O95" s="54"/>
      <c r="P95" s="55">
        <f t="shared" si="36"/>
        <v>0</v>
      </c>
      <c r="Q95" s="71"/>
      <c r="R95" s="56" t="str">
        <f t="shared" si="39"/>
        <v/>
      </c>
      <c r="S95" s="57" t="str">
        <f t="shared" si="40"/>
        <v/>
      </c>
      <c r="T95" s="58"/>
      <c r="V95" s="47">
        <f t="shared" si="43"/>
        <v>0</v>
      </c>
      <c r="W95" s="45">
        <f>VLOOKUP($V95,$V$8:$AB$42,COLUMNS($V$8:X$8),0)</f>
        <v>0</v>
      </c>
      <c r="X95" s="45">
        <f>VLOOKUP($V95,$V$8:$AB$42,COLUMNS($V$8:Z$8),0)</f>
        <v>0</v>
      </c>
      <c r="Y95" s="145">
        <f>VLOOKUP($V95,$V$8:$AB$42,COLUMNS($V$8:AB$8),0)</f>
        <v>0</v>
      </c>
      <c r="Z95" s="145" cm="1">
        <f t="array" ref="Z95">IFERROR(IFERROR(AVERAGE(LARGE(IF($F$9:$F$1004=V95,$Q$9:$Q$1004,""),ROW($B$1:$B$10))),AVERAGEIFS($Q$9:$Q$1004,$F$9:$F$1004,V95)),"")</f>
        <v>0</v>
      </c>
      <c r="AB95" s="45">
        <f t="shared" si="47"/>
        <v>11</v>
      </c>
      <c r="AC95" s="45" t="str">
        <f t="shared" si="44"/>
        <v/>
      </c>
      <c r="AD95" s="45" t="str">
        <f t="shared" si="41"/>
        <v/>
      </c>
      <c r="AE95" s="140" t="str">
        <f t="shared" si="41"/>
        <v/>
      </c>
      <c r="AF95" s="141" t="str">
        <f t="shared" si="41"/>
        <v/>
      </c>
      <c r="AG95" s="141" t="str">
        <f t="shared" si="41"/>
        <v/>
      </c>
      <c r="AH95" s="141" t="str">
        <f t="shared" si="41"/>
        <v/>
      </c>
      <c r="AI95" s="142" t="e">
        <f t="shared" si="42"/>
        <v>#VALUE!</v>
      </c>
      <c r="AJ95" s="126" t="str">
        <f t="shared" si="41"/>
        <v/>
      </c>
      <c r="AK95" s="126" t="str">
        <f t="shared" si="41"/>
        <v/>
      </c>
      <c r="AL95" s="143" t="e">
        <f t="shared" si="45"/>
        <v>#VALUE!</v>
      </c>
      <c r="AM95" s="143" t="e">
        <f t="shared" si="45"/>
        <v>#VALUE!</v>
      </c>
      <c r="AN95" s="144" t="e">
        <f t="shared" si="46"/>
        <v>#VALUE!</v>
      </c>
    </row>
    <row r="96" spans="2:40" x14ac:dyDescent="0.35">
      <c r="B96" s="45" t="str">
        <f>IF(J96="","",RANK($J96,$J$9:$J$620,0)+COUNTIF($J$9:J96,$J96)-1)</f>
        <v/>
      </c>
      <c r="C96" s="46"/>
      <c r="D96" s="46"/>
      <c r="E96" s="46"/>
      <c r="F96" s="47" t="str">
        <f t="shared" si="37"/>
        <v>--</v>
      </c>
      <c r="G96" s="48"/>
      <c r="H96" s="46"/>
      <c r="I96" s="49"/>
      <c r="J96" s="49"/>
      <c r="K96" s="49"/>
      <c r="L96" s="52">
        <f t="shared" si="38"/>
        <v>31</v>
      </c>
      <c r="M96" s="52">
        <f t="shared" si="38"/>
        <v>31</v>
      </c>
      <c r="N96" s="53"/>
      <c r="O96" s="54"/>
      <c r="P96" s="55">
        <f t="shared" si="36"/>
        <v>0</v>
      </c>
      <c r="Q96" s="71"/>
      <c r="R96" s="56" t="str">
        <f t="shared" si="39"/>
        <v/>
      </c>
      <c r="S96" s="57" t="str">
        <f t="shared" si="40"/>
        <v/>
      </c>
      <c r="T96" s="58"/>
      <c r="V96" s="47">
        <f t="shared" si="43"/>
        <v>0</v>
      </c>
      <c r="W96" s="45">
        <f>VLOOKUP($V96,$V$8:$AB$42,COLUMNS($V$8:X$8),0)</f>
        <v>0</v>
      </c>
      <c r="X96" s="45">
        <f>VLOOKUP($V96,$V$8:$AB$42,COLUMNS($V$8:Z$8),0)</f>
        <v>0</v>
      </c>
      <c r="Y96" s="145">
        <f>VLOOKUP($V96,$V$8:$AB$42,COLUMNS($V$8:AB$8),0)</f>
        <v>0</v>
      </c>
      <c r="Z96" s="145" cm="1">
        <f t="array" ref="Z96">IFERROR(IFERROR(AVERAGE(LARGE(IF($F$9:$F$1004=V96,$Q$9:$Q$1004,""),ROW($B$1:$B$10))),AVERAGEIFS($Q$9:$Q$1004,$F$9:$F$1004,V96)),"")</f>
        <v>0</v>
      </c>
      <c r="AB96" s="45">
        <f t="shared" si="47"/>
        <v>12</v>
      </c>
      <c r="AC96" s="45" t="str">
        <f t="shared" si="44"/>
        <v/>
      </c>
      <c r="AD96" s="45" t="str">
        <f t="shared" si="41"/>
        <v/>
      </c>
      <c r="AE96" s="140" t="str">
        <f t="shared" si="41"/>
        <v/>
      </c>
      <c r="AF96" s="141" t="str">
        <f t="shared" si="41"/>
        <v/>
      </c>
      <c r="AG96" s="141" t="str">
        <f t="shared" si="41"/>
        <v/>
      </c>
      <c r="AH96" s="141" t="str">
        <f t="shared" si="41"/>
        <v/>
      </c>
      <c r="AI96" s="142" t="e">
        <f t="shared" si="42"/>
        <v>#VALUE!</v>
      </c>
      <c r="AJ96" s="126" t="str">
        <f t="shared" si="41"/>
        <v/>
      </c>
      <c r="AK96" s="126" t="str">
        <f t="shared" si="41"/>
        <v/>
      </c>
      <c r="AL96" s="143" t="e">
        <f t="shared" si="45"/>
        <v>#VALUE!</v>
      </c>
      <c r="AM96" s="143" t="e">
        <f t="shared" si="45"/>
        <v>#VALUE!</v>
      </c>
      <c r="AN96" s="144" t="e">
        <f t="shared" si="46"/>
        <v>#VALUE!</v>
      </c>
    </row>
    <row r="97" spans="2:40" x14ac:dyDescent="0.35">
      <c r="B97" s="45" t="str">
        <f>IF(J97="","",RANK($J97,$J$9:$J$620,0)+COUNTIF($J$9:J97,$J97)-1)</f>
        <v/>
      </c>
      <c r="C97" s="46"/>
      <c r="D97" s="46"/>
      <c r="E97" s="46"/>
      <c r="F97" s="47" t="str">
        <f t="shared" si="37"/>
        <v>--</v>
      </c>
      <c r="G97" s="48"/>
      <c r="H97" s="46"/>
      <c r="I97" s="49"/>
      <c r="J97" s="49"/>
      <c r="K97" s="49"/>
      <c r="L97" s="52">
        <f t="shared" si="38"/>
        <v>31</v>
      </c>
      <c r="M97" s="52">
        <f t="shared" si="38"/>
        <v>31</v>
      </c>
      <c r="N97" s="53"/>
      <c r="O97" s="54"/>
      <c r="P97" s="55">
        <f t="shared" si="36"/>
        <v>0</v>
      </c>
      <c r="Q97" s="71"/>
      <c r="R97" s="56" t="str">
        <f t="shared" si="39"/>
        <v/>
      </c>
      <c r="S97" s="57" t="str">
        <f t="shared" si="40"/>
        <v/>
      </c>
      <c r="T97" s="58"/>
      <c r="V97" s="47">
        <f t="shared" si="43"/>
        <v>0</v>
      </c>
      <c r="W97" s="45">
        <f>VLOOKUP($V97,$V$8:$AB$42,COLUMNS($V$8:X$8),0)</f>
        <v>0</v>
      </c>
      <c r="X97" s="45">
        <f>VLOOKUP($V97,$V$8:$AB$42,COLUMNS($V$8:Z$8),0)</f>
        <v>0</v>
      </c>
      <c r="Y97" s="145">
        <f>VLOOKUP($V97,$V$8:$AB$42,COLUMNS($V$8:AB$8),0)</f>
        <v>0</v>
      </c>
      <c r="Z97" s="145" cm="1">
        <f t="array" ref="Z97">IFERROR(IFERROR(AVERAGE(LARGE(IF($F$9:$F$1004=V97,$Q$9:$Q$1004,""),ROW($B$1:$B$10))),AVERAGEIFS($Q$9:$Q$1004,$F$9:$F$1004,V97)),"")</f>
        <v>0</v>
      </c>
      <c r="AB97" s="45">
        <f t="shared" si="47"/>
        <v>13</v>
      </c>
      <c r="AC97" s="45" t="str">
        <f t="shared" si="44"/>
        <v/>
      </c>
      <c r="AD97" s="45" t="str">
        <f t="shared" si="41"/>
        <v/>
      </c>
      <c r="AE97" s="140" t="str">
        <f t="shared" si="41"/>
        <v/>
      </c>
      <c r="AF97" s="141" t="str">
        <f t="shared" si="41"/>
        <v/>
      </c>
      <c r="AG97" s="141" t="str">
        <f t="shared" si="41"/>
        <v/>
      </c>
      <c r="AH97" s="141" t="str">
        <f t="shared" si="41"/>
        <v/>
      </c>
      <c r="AI97" s="142" t="e">
        <f t="shared" si="42"/>
        <v>#VALUE!</v>
      </c>
      <c r="AJ97" s="126" t="str">
        <f t="shared" si="41"/>
        <v/>
      </c>
      <c r="AK97" s="126" t="str">
        <f t="shared" si="41"/>
        <v/>
      </c>
      <c r="AL97" s="143" t="e">
        <f t="shared" si="45"/>
        <v>#VALUE!</v>
      </c>
      <c r="AM97" s="143" t="e">
        <f t="shared" si="45"/>
        <v>#VALUE!</v>
      </c>
      <c r="AN97" s="144" t="e">
        <f t="shared" si="46"/>
        <v>#VALUE!</v>
      </c>
    </row>
    <row r="98" spans="2:40" x14ac:dyDescent="0.35">
      <c r="B98" s="45" t="str">
        <f>IF(J98="","",RANK($J98,$J$9:$J$620,0)+COUNTIF($J$9:J98,$J98)-1)</f>
        <v/>
      </c>
      <c r="C98" s="46"/>
      <c r="D98" s="46"/>
      <c r="E98" s="46"/>
      <c r="F98" s="47" t="str">
        <f t="shared" si="37"/>
        <v>--</v>
      </c>
      <c r="G98" s="48"/>
      <c r="H98" s="46"/>
      <c r="I98" s="49"/>
      <c r="J98" s="50"/>
      <c r="K98" s="49"/>
      <c r="L98" s="52">
        <f t="shared" si="38"/>
        <v>31</v>
      </c>
      <c r="M98" s="52">
        <f t="shared" si="38"/>
        <v>31</v>
      </c>
      <c r="N98" s="53"/>
      <c r="O98" s="54"/>
      <c r="P98" s="55">
        <f t="shared" si="36"/>
        <v>0</v>
      </c>
      <c r="Q98" s="46"/>
      <c r="R98" s="56" t="str">
        <f t="shared" si="39"/>
        <v/>
      </c>
      <c r="S98" s="57" t="str">
        <f t="shared" si="40"/>
        <v/>
      </c>
      <c r="T98" s="58"/>
      <c r="V98" s="47">
        <f t="shared" si="43"/>
        <v>0</v>
      </c>
      <c r="W98" s="45">
        <f>VLOOKUP($V98,$V$8:$AB$42,COLUMNS($V$8:X$8),0)</f>
        <v>0</v>
      </c>
      <c r="X98" s="45">
        <f>VLOOKUP($V98,$V$8:$AB$42,COLUMNS($V$8:Z$8),0)</f>
        <v>0</v>
      </c>
      <c r="Y98" s="145">
        <f>VLOOKUP($V98,$V$8:$AB$42,COLUMNS($V$8:AB$8),0)</f>
        <v>0</v>
      </c>
      <c r="Z98" s="145" cm="1">
        <f t="array" ref="Z98">IFERROR(IFERROR(AVERAGE(LARGE(IF($F$9:$F$1004=V98,$Q$9:$Q$1004,""),ROW($B$1:$B$10))),AVERAGEIFS($Q$9:$Q$1004,$F$9:$F$1004,V98)),"")</f>
        <v>0</v>
      </c>
      <c r="AB98" s="45">
        <f t="shared" si="47"/>
        <v>14</v>
      </c>
      <c r="AC98" s="45" t="str">
        <f t="shared" si="44"/>
        <v/>
      </c>
      <c r="AD98" s="45" t="str">
        <f t="shared" si="41"/>
        <v/>
      </c>
      <c r="AE98" s="140" t="str">
        <f t="shared" si="41"/>
        <v/>
      </c>
      <c r="AF98" s="141" t="str">
        <f t="shared" si="41"/>
        <v/>
      </c>
      <c r="AG98" s="141" t="str">
        <f t="shared" si="41"/>
        <v/>
      </c>
      <c r="AH98" s="141" t="str">
        <f t="shared" si="41"/>
        <v/>
      </c>
      <c r="AI98" s="142" t="e">
        <f t="shared" si="42"/>
        <v>#VALUE!</v>
      </c>
      <c r="AJ98" s="126" t="str">
        <f t="shared" si="41"/>
        <v/>
      </c>
      <c r="AK98" s="126" t="str">
        <f t="shared" si="41"/>
        <v/>
      </c>
      <c r="AL98" s="143" t="e">
        <f t="shared" si="45"/>
        <v>#VALUE!</v>
      </c>
      <c r="AM98" s="143" t="e">
        <f t="shared" si="45"/>
        <v>#VALUE!</v>
      </c>
      <c r="AN98" s="144" t="e">
        <f t="shared" si="46"/>
        <v>#VALUE!</v>
      </c>
    </row>
    <row r="99" spans="2:40" x14ac:dyDescent="0.35">
      <c r="B99" s="45" t="str">
        <f>IF(J99="","",RANK($J99,$J$9:$J$620,0)+COUNTIF($J$9:J99,$J99)-1)</f>
        <v/>
      </c>
      <c r="C99" s="46"/>
      <c r="D99" s="46"/>
      <c r="E99" s="46"/>
      <c r="F99" s="47" t="str">
        <f t="shared" si="37"/>
        <v>--</v>
      </c>
      <c r="G99" s="48"/>
      <c r="H99" s="46"/>
      <c r="I99" s="49"/>
      <c r="J99" s="50"/>
      <c r="K99" s="49"/>
      <c r="L99" s="52">
        <f t="shared" si="38"/>
        <v>31</v>
      </c>
      <c r="M99" s="52">
        <f t="shared" si="38"/>
        <v>31</v>
      </c>
      <c r="N99" s="53"/>
      <c r="O99" s="54"/>
      <c r="P99" s="55">
        <f t="shared" si="36"/>
        <v>0</v>
      </c>
      <c r="Q99" s="71"/>
      <c r="R99" s="56" t="str">
        <f t="shared" si="39"/>
        <v/>
      </c>
      <c r="S99" s="57" t="str">
        <f t="shared" si="40"/>
        <v/>
      </c>
      <c r="T99" s="58"/>
      <c r="V99" s="47">
        <f t="shared" si="43"/>
        <v>0</v>
      </c>
      <c r="W99" s="45">
        <f>VLOOKUP($V99,$V$8:$AB$42,COLUMNS($V$8:X$8),0)</f>
        <v>0</v>
      </c>
      <c r="X99" s="45">
        <f>VLOOKUP($V99,$V$8:$AB$42,COLUMNS($V$8:Z$8),0)</f>
        <v>0</v>
      </c>
      <c r="Y99" s="145">
        <f>VLOOKUP($V99,$V$8:$AB$42,COLUMNS($V$8:AB$8),0)</f>
        <v>0</v>
      </c>
      <c r="Z99" s="145" cm="1">
        <f t="array" ref="Z99">IFERROR(IFERROR(AVERAGE(LARGE(IF($F$9:$F$1004=V99,$Q$9:$Q$1004,""),ROW($B$1:$B$10))),AVERAGEIFS($Q$9:$Q$1004,$F$9:$F$1004,V99)),"")</f>
        <v>0</v>
      </c>
      <c r="AB99" s="45">
        <f t="shared" si="47"/>
        <v>15</v>
      </c>
      <c r="AC99" s="45" t="str">
        <f t="shared" si="44"/>
        <v/>
      </c>
      <c r="AD99" s="45" t="str">
        <f t="shared" si="41"/>
        <v/>
      </c>
      <c r="AE99" s="140" t="str">
        <f t="shared" si="41"/>
        <v/>
      </c>
      <c r="AF99" s="141" t="str">
        <f t="shared" si="41"/>
        <v/>
      </c>
      <c r="AG99" s="141" t="str">
        <f t="shared" si="41"/>
        <v/>
      </c>
      <c r="AH99" s="141" t="str">
        <f t="shared" si="41"/>
        <v/>
      </c>
      <c r="AI99" s="142" t="e">
        <f t="shared" si="42"/>
        <v>#VALUE!</v>
      </c>
      <c r="AJ99" s="126" t="str">
        <f t="shared" si="41"/>
        <v/>
      </c>
      <c r="AK99" s="126" t="str">
        <f t="shared" si="41"/>
        <v/>
      </c>
      <c r="AL99" s="143" t="e">
        <f t="shared" si="45"/>
        <v>#VALUE!</v>
      </c>
      <c r="AM99" s="143" t="e">
        <f t="shared" si="45"/>
        <v>#VALUE!</v>
      </c>
      <c r="AN99" s="144" t="e">
        <f t="shared" si="46"/>
        <v>#VALUE!</v>
      </c>
    </row>
    <row r="100" spans="2:40" x14ac:dyDescent="0.35">
      <c r="B100" s="45" t="str">
        <f>IF(J100="","",RANK($J100,$J$9:$J$620,0)+COUNTIF($J$9:J100,$J100)-1)</f>
        <v/>
      </c>
      <c r="C100" s="46"/>
      <c r="D100" s="46"/>
      <c r="E100" s="46"/>
      <c r="F100" s="47" t="str">
        <f t="shared" si="37"/>
        <v>--</v>
      </c>
      <c r="G100" s="48"/>
      <c r="H100" s="46"/>
      <c r="I100" s="49"/>
      <c r="J100" s="50"/>
      <c r="K100" s="49"/>
      <c r="L100" s="52">
        <f t="shared" si="38"/>
        <v>31</v>
      </c>
      <c r="M100" s="52">
        <f t="shared" si="38"/>
        <v>31</v>
      </c>
      <c r="N100" s="53"/>
      <c r="O100" s="54"/>
      <c r="P100" s="55">
        <f t="shared" si="36"/>
        <v>0</v>
      </c>
      <c r="Q100" s="71"/>
      <c r="R100" s="56" t="str">
        <f t="shared" si="39"/>
        <v/>
      </c>
      <c r="S100" s="57" t="str">
        <f t="shared" si="40"/>
        <v/>
      </c>
      <c r="T100" s="58"/>
      <c r="V100" s="47">
        <f t="shared" si="43"/>
        <v>0</v>
      </c>
      <c r="W100" s="45">
        <f>VLOOKUP($V100,$V$8:$AB$42,COLUMNS($V$8:X$8),0)</f>
        <v>0</v>
      </c>
      <c r="X100" s="45">
        <f>VLOOKUP($V100,$V$8:$AB$42,COLUMNS($V$8:Z$8),0)</f>
        <v>0</v>
      </c>
      <c r="Y100" s="145">
        <f>VLOOKUP($V100,$V$8:$AB$42,COLUMNS($V$8:AB$8),0)</f>
        <v>0</v>
      </c>
      <c r="Z100" s="145" cm="1">
        <f t="array" ref="Z100">IFERROR(IFERROR(AVERAGE(LARGE(IF($F$9:$F$1004=V100,$Q$9:$Q$1004,""),ROW($B$1:$B$10))),AVERAGEIFS($Q$9:$Q$1004,$F$9:$F$1004,V100)),"")</f>
        <v>0</v>
      </c>
      <c r="AB100" s="45">
        <f t="shared" si="47"/>
        <v>16</v>
      </c>
      <c r="AC100" s="45" t="str">
        <f t="shared" si="44"/>
        <v/>
      </c>
      <c r="AD100" s="45" t="str">
        <f t="shared" si="41"/>
        <v/>
      </c>
      <c r="AE100" s="140" t="str">
        <f t="shared" si="41"/>
        <v/>
      </c>
      <c r="AF100" s="141" t="str">
        <f t="shared" si="41"/>
        <v/>
      </c>
      <c r="AG100" s="141" t="str">
        <f t="shared" si="41"/>
        <v/>
      </c>
      <c r="AH100" s="141" t="str">
        <f t="shared" si="41"/>
        <v/>
      </c>
      <c r="AI100" s="142" t="e">
        <f t="shared" si="42"/>
        <v>#VALUE!</v>
      </c>
      <c r="AJ100" s="126" t="str">
        <f t="shared" si="41"/>
        <v/>
      </c>
      <c r="AK100" s="126" t="str">
        <f t="shared" si="41"/>
        <v/>
      </c>
      <c r="AL100" s="143" t="e">
        <f t="shared" si="45"/>
        <v>#VALUE!</v>
      </c>
      <c r="AM100" s="143" t="e">
        <f t="shared" si="45"/>
        <v>#VALUE!</v>
      </c>
      <c r="AN100" s="144" t="e">
        <f t="shared" si="46"/>
        <v>#VALUE!</v>
      </c>
    </row>
    <row r="101" spans="2:40" x14ac:dyDescent="0.35">
      <c r="B101" s="45" t="str">
        <f>IF(J101="","",RANK($J101,$J$9:$J$620,0)+COUNTIF($J$9:J101,$J101)-1)</f>
        <v/>
      </c>
      <c r="C101" s="46"/>
      <c r="D101" s="46"/>
      <c r="E101" s="46"/>
      <c r="F101" s="47" t="str">
        <f t="shared" si="37"/>
        <v>--</v>
      </c>
      <c r="G101" s="48"/>
      <c r="H101" s="46"/>
      <c r="I101" s="49"/>
      <c r="J101" s="50"/>
      <c r="K101" s="49"/>
      <c r="L101" s="52">
        <f t="shared" si="38"/>
        <v>31</v>
      </c>
      <c r="M101" s="52">
        <f t="shared" si="38"/>
        <v>31</v>
      </c>
      <c r="N101" s="53"/>
      <c r="O101" s="54"/>
      <c r="P101" s="55">
        <f t="shared" si="36"/>
        <v>0</v>
      </c>
      <c r="Q101" s="71"/>
      <c r="R101" s="56" t="str">
        <f t="shared" si="39"/>
        <v/>
      </c>
      <c r="S101" s="57" t="str">
        <f t="shared" si="40"/>
        <v/>
      </c>
      <c r="T101" s="58"/>
      <c r="V101" s="47">
        <f t="shared" si="43"/>
        <v>0</v>
      </c>
      <c r="W101" s="45">
        <f>VLOOKUP($V101,$V$8:$AB$42,COLUMNS($V$8:X$8),0)</f>
        <v>0</v>
      </c>
      <c r="X101" s="45">
        <f>VLOOKUP($V101,$V$8:$AB$42,COLUMNS($V$8:Z$8),0)</f>
        <v>0</v>
      </c>
      <c r="Y101" s="145">
        <f>VLOOKUP($V101,$V$8:$AB$42,COLUMNS($V$8:AB$8),0)</f>
        <v>0</v>
      </c>
      <c r="Z101" s="145" cm="1">
        <f t="array" ref="Z101">IFERROR(IFERROR(AVERAGE(LARGE(IF($F$9:$F$1004=V101,$Q$9:$Q$1004,""),ROW($B$1:$B$10))),AVERAGEIFS($Q$9:$Q$1004,$F$9:$F$1004,V101)),"")</f>
        <v>0</v>
      </c>
      <c r="AB101" s="45">
        <f t="shared" si="47"/>
        <v>17</v>
      </c>
      <c r="AC101" s="45" t="str">
        <f t="shared" si="44"/>
        <v/>
      </c>
      <c r="AD101" s="45" t="str">
        <f t="shared" si="44"/>
        <v/>
      </c>
      <c r="AE101" s="140" t="str">
        <f t="shared" si="44"/>
        <v/>
      </c>
      <c r="AF101" s="141" t="str">
        <f t="shared" si="44"/>
        <v/>
      </c>
      <c r="AG101" s="141" t="str">
        <f t="shared" si="44"/>
        <v/>
      </c>
      <c r="AH101" s="141" t="str">
        <f t="shared" si="44"/>
        <v/>
      </c>
      <c r="AI101" s="142" t="e">
        <f t="shared" si="42"/>
        <v>#VALUE!</v>
      </c>
      <c r="AJ101" s="126" t="str">
        <f t="shared" si="44"/>
        <v/>
      </c>
      <c r="AK101" s="126" t="str">
        <f t="shared" si="44"/>
        <v/>
      </c>
      <c r="AL101" s="143" t="e">
        <f t="shared" si="45"/>
        <v>#VALUE!</v>
      </c>
      <c r="AM101" s="143" t="e">
        <f t="shared" si="45"/>
        <v>#VALUE!</v>
      </c>
      <c r="AN101" s="144" t="e">
        <f t="shared" si="46"/>
        <v>#VALUE!</v>
      </c>
    </row>
    <row r="102" spans="2:40" x14ac:dyDescent="0.35">
      <c r="B102" s="45" t="str">
        <f>IF(J102="","",RANK($J102,$J$9:$J$620,0)+COUNTIF($J$9:J102,$J102)-1)</f>
        <v/>
      </c>
      <c r="C102" s="46"/>
      <c r="D102" s="46"/>
      <c r="E102" s="46"/>
      <c r="F102" s="47" t="str">
        <f t="shared" si="37"/>
        <v>--</v>
      </c>
      <c r="G102" s="48"/>
      <c r="H102" s="46"/>
      <c r="I102" s="49"/>
      <c r="J102" s="49"/>
      <c r="K102" s="49"/>
      <c r="L102" s="52">
        <f t="shared" si="38"/>
        <v>31</v>
      </c>
      <c r="M102" s="52">
        <f t="shared" si="38"/>
        <v>31</v>
      </c>
      <c r="N102" s="53"/>
      <c r="O102" s="54"/>
      <c r="P102" s="55">
        <f t="shared" si="36"/>
        <v>0</v>
      </c>
      <c r="Q102" s="71"/>
      <c r="R102" s="56" t="str">
        <f t="shared" si="39"/>
        <v/>
      </c>
      <c r="S102" s="57" t="str">
        <f t="shared" si="40"/>
        <v/>
      </c>
      <c r="T102" s="58"/>
      <c r="V102" s="146">
        <f t="shared" si="43"/>
        <v>0</v>
      </c>
      <c r="W102" s="147">
        <f>VLOOKUP($V102,$V$8:$AB$42,COLUMNS($V$8:X$8),0)</f>
        <v>0</v>
      </c>
      <c r="X102" s="147">
        <f>VLOOKUP($V102,$V$8:$AB$42,COLUMNS($V$8:Z$8),0)</f>
        <v>0</v>
      </c>
      <c r="Y102" s="148">
        <f>VLOOKUP($V102,$V$8:$AB$42,COLUMNS($V$8:AB$8),0)</f>
        <v>0</v>
      </c>
      <c r="Z102" s="148" cm="1">
        <f t="array" ref="Z102">IFERROR(IFERROR(AVERAGE(LARGE(IF($F$9:$F$1004=V102,$Q$9:$Q$1004,""),ROW($B$1:$B$10))),AVERAGEIFS($Q$9:$Q$1004,$F$9:$F$1004,V102)),"")</f>
        <v>0</v>
      </c>
      <c r="AB102" s="45">
        <f t="shared" si="47"/>
        <v>18</v>
      </c>
      <c r="AC102" s="45" t="str">
        <f t="shared" ref="AC102:AK104" si="48">IFERROR(INDEX($B$8:$T$620,MATCH($AB102,$B$8:$B$620,0),MATCH(AC$84,$B$8:$T$8,0)),"")</f>
        <v/>
      </c>
      <c r="AD102" s="45" t="str">
        <f t="shared" si="48"/>
        <v/>
      </c>
      <c r="AE102" s="140" t="str">
        <f t="shared" si="48"/>
        <v/>
      </c>
      <c r="AF102" s="141" t="str">
        <f t="shared" si="48"/>
        <v/>
      </c>
      <c r="AG102" s="141" t="str">
        <f t="shared" si="48"/>
        <v/>
      </c>
      <c r="AH102" s="141" t="str">
        <f t="shared" si="48"/>
        <v/>
      </c>
      <c r="AI102" s="142" t="e">
        <f t="shared" si="42"/>
        <v>#VALUE!</v>
      </c>
      <c r="AJ102" s="126" t="str">
        <f t="shared" si="48"/>
        <v/>
      </c>
      <c r="AK102" s="126" t="str">
        <f t="shared" si="48"/>
        <v/>
      </c>
      <c r="AL102" s="143" t="e">
        <f t="shared" si="45"/>
        <v>#VALUE!</v>
      </c>
      <c r="AM102" s="143" t="e">
        <f t="shared" si="45"/>
        <v>#VALUE!</v>
      </c>
      <c r="AN102" s="144" t="e">
        <f t="shared" si="46"/>
        <v>#VALUE!</v>
      </c>
    </row>
    <row r="103" spans="2:40" x14ac:dyDescent="0.35">
      <c r="B103" s="45" t="str">
        <f>IF(J103="","",RANK($J103,$J$9:$J$620,0)+COUNTIF($J$9:J103,$J103)-1)</f>
        <v/>
      </c>
      <c r="C103" s="46"/>
      <c r="D103" s="46"/>
      <c r="E103" s="46"/>
      <c r="F103" s="47" t="str">
        <f t="shared" si="37"/>
        <v>--</v>
      </c>
      <c r="G103" s="48"/>
      <c r="H103" s="46"/>
      <c r="I103" s="49"/>
      <c r="J103" s="50"/>
      <c r="K103" s="49"/>
      <c r="L103" s="52">
        <f t="shared" si="38"/>
        <v>31</v>
      </c>
      <c r="M103" s="52">
        <f t="shared" si="38"/>
        <v>31</v>
      </c>
      <c r="N103" s="53"/>
      <c r="O103" s="54"/>
      <c r="P103" s="55">
        <f t="shared" si="36"/>
        <v>0</v>
      </c>
      <c r="Q103" s="71"/>
      <c r="R103" s="56" t="str">
        <f t="shared" si="39"/>
        <v/>
      </c>
      <c r="S103" s="57" t="str">
        <f t="shared" si="40"/>
        <v/>
      </c>
      <c r="T103" s="58"/>
      <c r="V103" s="146">
        <f t="shared" si="43"/>
        <v>0</v>
      </c>
      <c r="W103" s="147">
        <f>VLOOKUP($V103,$V$8:$AB$42,COLUMNS($V$8:X$8),0)</f>
        <v>0</v>
      </c>
      <c r="X103" s="147">
        <f>VLOOKUP($V103,$V$8:$AB$42,COLUMNS($V$8:Z$8),0)</f>
        <v>0</v>
      </c>
      <c r="Y103" s="148">
        <f>VLOOKUP($V103,$V$8:$AB$42,COLUMNS($V$8:AB$8),0)</f>
        <v>0</v>
      </c>
      <c r="Z103" s="148" cm="1">
        <f t="array" ref="Z103">IFERROR(IFERROR(AVERAGE(LARGE(IF($F$9:$F$1004=V103,$Q$9:$Q$1004,""),ROW($B$1:$B$10))),AVERAGEIFS($Q$9:$Q$1004,$F$9:$F$1004,V103)),"")</f>
        <v>0</v>
      </c>
      <c r="AB103" s="45">
        <f t="shared" si="47"/>
        <v>19</v>
      </c>
      <c r="AC103" s="45" t="str">
        <f t="shared" si="48"/>
        <v/>
      </c>
      <c r="AD103" s="45" t="str">
        <f t="shared" si="48"/>
        <v/>
      </c>
      <c r="AE103" s="140" t="str">
        <f t="shared" si="48"/>
        <v/>
      </c>
      <c r="AF103" s="141" t="str">
        <f t="shared" si="48"/>
        <v/>
      </c>
      <c r="AG103" s="141" t="str">
        <f t="shared" si="48"/>
        <v/>
      </c>
      <c r="AH103" s="141" t="str">
        <f t="shared" si="48"/>
        <v/>
      </c>
      <c r="AI103" s="142" t="e">
        <f t="shared" si="42"/>
        <v>#VALUE!</v>
      </c>
      <c r="AJ103" s="126" t="str">
        <f t="shared" si="48"/>
        <v/>
      </c>
      <c r="AK103" s="126" t="str">
        <f t="shared" si="48"/>
        <v/>
      </c>
      <c r="AL103" s="143" t="e">
        <f t="shared" si="45"/>
        <v>#VALUE!</v>
      </c>
      <c r="AM103" s="143" t="e">
        <f t="shared" si="45"/>
        <v>#VALUE!</v>
      </c>
      <c r="AN103" s="144" t="e">
        <f t="shared" si="46"/>
        <v>#VALUE!</v>
      </c>
    </row>
    <row r="104" spans="2:40" x14ac:dyDescent="0.35">
      <c r="B104" s="45" t="str">
        <f>IF(J104="","",RANK($J104,$J$9:$J$620,0)+COUNTIF($J$9:J104,$J104)-1)</f>
        <v/>
      </c>
      <c r="C104" s="46"/>
      <c r="D104" s="46"/>
      <c r="E104" s="46"/>
      <c r="F104" s="47" t="str">
        <f t="shared" si="37"/>
        <v>--</v>
      </c>
      <c r="G104" s="48"/>
      <c r="H104" s="46"/>
      <c r="I104" s="49"/>
      <c r="J104" s="50"/>
      <c r="K104" s="49"/>
      <c r="L104" s="52">
        <f t="shared" si="38"/>
        <v>31</v>
      </c>
      <c r="M104" s="52">
        <f t="shared" si="38"/>
        <v>31</v>
      </c>
      <c r="N104" s="53"/>
      <c r="O104" s="54"/>
      <c r="P104" s="55">
        <f t="shared" si="36"/>
        <v>0</v>
      </c>
      <c r="Q104" s="71"/>
      <c r="R104" s="56" t="str">
        <f t="shared" si="39"/>
        <v/>
      </c>
      <c r="S104" s="57" t="str">
        <f t="shared" si="40"/>
        <v/>
      </c>
      <c r="T104" s="58"/>
      <c r="V104" s="146">
        <f t="shared" si="43"/>
        <v>0</v>
      </c>
      <c r="W104" s="147">
        <f>VLOOKUP($V104,$V$8:$AB$42,COLUMNS($V$8:X$8),0)</f>
        <v>0</v>
      </c>
      <c r="X104" s="147">
        <f>VLOOKUP($V104,$V$8:$AB$42,COLUMNS($V$8:Z$8),0)</f>
        <v>0</v>
      </c>
      <c r="Y104" s="148">
        <f>VLOOKUP($V104,$V$8:$AB$42,COLUMNS($V$8:AB$8),0)</f>
        <v>0</v>
      </c>
      <c r="Z104" s="148" cm="1">
        <f t="array" ref="Z104">IFERROR(IFERROR(AVERAGE(LARGE(IF($F$9:$F$1004=V104,$Q$9:$Q$1004,""),ROW($B$1:$B$10))),AVERAGEIFS($Q$9:$Q$1004,$F$9:$F$1004,V104)),"")</f>
        <v>0</v>
      </c>
      <c r="AB104" s="147">
        <f t="shared" si="47"/>
        <v>20</v>
      </c>
      <c r="AC104" s="147" t="str">
        <f t="shared" si="48"/>
        <v/>
      </c>
      <c r="AD104" s="147" t="str">
        <f t="shared" si="48"/>
        <v/>
      </c>
      <c r="AE104" s="149" t="str">
        <f t="shared" si="48"/>
        <v/>
      </c>
      <c r="AF104" s="150" t="str">
        <f t="shared" si="48"/>
        <v/>
      </c>
      <c r="AG104" s="150" t="str">
        <f t="shared" si="48"/>
        <v/>
      </c>
      <c r="AH104" s="150" t="str">
        <f t="shared" si="48"/>
        <v/>
      </c>
      <c r="AI104" s="151" t="e">
        <f t="shared" si="42"/>
        <v>#VALUE!</v>
      </c>
      <c r="AJ104" s="152" t="str">
        <f t="shared" si="48"/>
        <v/>
      </c>
      <c r="AK104" s="152" t="str">
        <f t="shared" si="48"/>
        <v/>
      </c>
      <c r="AL104" s="153" t="e">
        <f t="shared" si="45"/>
        <v>#VALUE!</v>
      </c>
      <c r="AM104" s="153" t="e">
        <f t="shared" si="45"/>
        <v>#VALUE!</v>
      </c>
      <c r="AN104" s="154" t="e">
        <f t="shared" si="46"/>
        <v>#VALUE!</v>
      </c>
    </row>
    <row r="105" spans="2:40" x14ac:dyDescent="0.35">
      <c r="B105" s="45" t="str">
        <f>IF(J105="","",RANK($J105,$J$9:$J$620,0)+COUNTIF($J$9:J105,$J105)-1)</f>
        <v/>
      </c>
      <c r="C105" s="46"/>
      <c r="D105" s="46"/>
      <c r="E105" s="46"/>
      <c r="F105" s="47" t="str">
        <f t="shared" si="37"/>
        <v>--</v>
      </c>
      <c r="G105" s="48"/>
      <c r="H105" s="46"/>
      <c r="I105" s="49"/>
      <c r="J105" s="50"/>
      <c r="K105" s="49"/>
      <c r="L105" s="52">
        <f t="shared" si="38"/>
        <v>31</v>
      </c>
      <c r="M105" s="52">
        <f t="shared" si="38"/>
        <v>31</v>
      </c>
      <c r="N105" s="53"/>
      <c r="O105" s="54"/>
      <c r="P105" s="55">
        <f t="shared" si="36"/>
        <v>0</v>
      </c>
      <c r="Q105" s="71"/>
      <c r="R105" s="56" t="str">
        <f t="shared" si="39"/>
        <v/>
      </c>
      <c r="S105" s="57" t="str">
        <f t="shared" si="40"/>
        <v/>
      </c>
      <c r="T105" s="58"/>
      <c r="V105" s="146">
        <f t="shared" si="43"/>
        <v>0</v>
      </c>
      <c r="W105" s="147">
        <f>VLOOKUP($V105,$V$8:$AB$42,COLUMNS($V$8:X$8),0)</f>
        <v>0</v>
      </c>
      <c r="X105" s="147">
        <f>VLOOKUP($V105,$V$8:$AB$42,COLUMNS($V$8:Z$8),0)</f>
        <v>0</v>
      </c>
      <c r="Y105" s="148">
        <f>VLOOKUP($V105,$V$8:$AB$42,COLUMNS($V$8:AB$8),0)</f>
        <v>0</v>
      </c>
      <c r="Z105" s="148" cm="1">
        <f t="array" ref="Z105">IFERROR(IFERROR(AVERAGE(LARGE(IF($F$9:$F$1004=V105,$Q$9:$Q$1004,""),ROW($B$1:$B$10))),AVERAGEIFS($Q$9:$Q$1004,$F$9:$F$1004,V105)),"")</f>
        <v>0</v>
      </c>
      <c r="AB105" s="155" t="s">
        <v>64</v>
      </c>
      <c r="AC105" s="45"/>
      <c r="AD105" s="45"/>
      <c r="AE105" s="156" t="e">
        <f>AVERAGE(AE85:AE104)</f>
        <v>#DIV/0!</v>
      </c>
      <c r="AF105" s="45"/>
      <c r="AG105" s="45"/>
      <c r="AH105" s="45"/>
      <c r="AI105" s="157" t="e">
        <f>AVERAGE(AI85:AI104)</f>
        <v>#VALUE!</v>
      </c>
      <c r="AJ105" s="158" t="e">
        <f>AVERAGE(AJ85:AJ104)</f>
        <v>#DIV/0!</v>
      </c>
      <c r="AK105" s="158" t="e">
        <f>AVERAGE(AK85:AK104)</f>
        <v>#DIV/0!</v>
      </c>
      <c r="AL105" s="159" t="e">
        <f>AJ105/AE105</f>
        <v>#DIV/0!</v>
      </c>
      <c r="AM105" s="159" t="e">
        <f>AK105/AE105</f>
        <v>#DIV/0!</v>
      </c>
      <c r="AN105" s="160" t="e">
        <f t="shared" si="46"/>
        <v>#DIV/0!</v>
      </c>
    </row>
    <row r="106" spans="2:40" x14ac:dyDescent="0.35">
      <c r="B106" s="45" t="str">
        <f>IF(J106="","",RANK($J106,$J$9:$J$620,0)+COUNTIF($J$9:J106,$J106)-1)</f>
        <v/>
      </c>
      <c r="C106" s="46"/>
      <c r="D106" s="46"/>
      <c r="E106" s="46"/>
      <c r="F106" s="47" t="str">
        <f t="shared" si="37"/>
        <v>--</v>
      </c>
      <c r="G106" s="48"/>
      <c r="H106" s="46"/>
      <c r="I106" s="49"/>
      <c r="J106" s="50"/>
      <c r="K106" s="49"/>
      <c r="L106" s="52">
        <f t="shared" si="38"/>
        <v>31</v>
      </c>
      <c r="M106" s="52">
        <f t="shared" si="38"/>
        <v>31</v>
      </c>
      <c r="N106" s="53"/>
      <c r="O106" s="54"/>
      <c r="P106" s="55">
        <f t="shared" si="36"/>
        <v>0</v>
      </c>
      <c r="Q106" s="71"/>
      <c r="R106" s="56" t="str">
        <f t="shared" si="39"/>
        <v/>
      </c>
      <c r="S106" s="57" t="str">
        <f t="shared" si="40"/>
        <v/>
      </c>
      <c r="T106" s="58"/>
      <c r="V106" s="146">
        <f t="shared" si="43"/>
        <v>0</v>
      </c>
      <c r="W106" s="147">
        <f>VLOOKUP($V106,$V$8:$AB$42,COLUMNS($V$8:X$8),0)</f>
        <v>0</v>
      </c>
      <c r="X106" s="147">
        <f>VLOOKUP($V106,$V$8:$AB$42,COLUMNS($V$8:Z$8),0)</f>
        <v>0</v>
      </c>
      <c r="Y106" s="148">
        <f>VLOOKUP($V106,$V$8:$AB$42,COLUMNS($V$8:AB$8),0)</f>
        <v>0</v>
      </c>
      <c r="Z106" s="148" cm="1">
        <f t="array" ref="Z106">IFERROR(IFERROR(AVERAGE(LARGE(IF($F$9:$F$1004=V106,$Q$9:$Q$1004,""),ROW($B$1:$B$10))),AVERAGEIFS($Q$9:$Q$1004,$F$9:$F$1004,V106)),"")</f>
        <v>0</v>
      </c>
      <c r="AB106" s="155" t="s">
        <v>65</v>
      </c>
      <c r="AC106" s="45"/>
      <c r="AD106" s="45"/>
      <c r="AE106" s="156">
        <f>Z43</f>
        <v>0</v>
      </c>
      <c r="AF106" s="45"/>
      <c r="AG106" s="45"/>
      <c r="AH106" s="45"/>
      <c r="AI106" s="45"/>
      <c r="AJ106" s="127">
        <f>AA43</f>
        <v>0</v>
      </c>
      <c r="AK106" s="127">
        <f>AD43</f>
        <v>0</v>
      </c>
      <c r="AL106" s="161" t="e">
        <f>AJ106/AE106</f>
        <v>#DIV/0!</v>
      </c>
      <c r="AM106" s="161" t="e">
        <f>AK106/AE106</f>
        <v>#DIV/0!</v>
      </c>
      <c r="AN106" s="162" t="e">
        <f t="shared" si="46"/>
        <v>#DIV/0!</v>
      </c>
    </row>
    <row r="107" spans="2:40" x14ac:dyDescent="0.35">
      <c r="B107" s="45" t="str">
        <f>IF(J107="","",RANK($J107,$J$9:$J$620,0)+COUNTIF($J$9:J107,$J107)-1)</f>
        <v/>
      </c>
      <c r="C107" s="46"/>
      <c r="D107" s="46"/>
      <c r="E107" s="46"/>
      <c r="F107" s="47" t="str">
        <f t="shared" si="37"/>
        <v>--</v>
      </c>
      <c r="G107" s="48"/>
      <c r="H107" s="46"/>
      <c r="I107" s="49"/>
      <c r="J107" s="50"/>
      <c r="K107" s="49"/>
      <c r="L107" s="52">
        <f t="shared" si="38"/>
        <v>31</v>
      </c>
      <c r="M107" s="52">
        <f t="shared" si="38"/>
        <v>31</v>
      </c>
      <c r="N107" s="53"/>
      <c r="O107" s="54"/>
      <c r="P107" s="55">
        <f t="shared" si="36"/>
        <v>0</v>
      </c>
      <c r="Q107" s="71"/>
      <c r="R107" s="56" t="str">
        <f t="shared" si="39"/>
        <v/>
      </c>
      <c r="S107" s="57" t="str">
        <f t="shared" si="40"/>
        <v/>
      </c>
      <c r="T107" s="58"/>
      <c r="V107" s="146">
        <f t="shared" si="43"/>
        <v>0</v>
      </c>
      <c r="W107" s="147">
        <f>VLOOKUP($V107,$V$8:$AB$42,COLUMNS($V$8:X$8),0)</f>
        <v>0</v>
      </c>
      <c r="X107" s="147">
        <f>VLOOKUP($V107,$V$8:$AB$42,COLUMNS($V$8:Z$8),0)</f>
        <v>0</v>
      </c>
      <c r="Y107" s="148">
        <f>VLOOKUP($V107,$V$8:$AB$42,COLUMNS($V$8:AB$8),0)</f>
        <v>0</v>
      </c>
      <c r="Z107" s="148" cm="1">
        <f t="array" ref="Z107">IFERROR(IFERROR(AVERAGE(LARGE(IF($F$9:$F$1004=V107,$Q$9:$Q$1004,""),ROW($B$1:$B$10))),AVERAGEIFS($Q$9:$Q$1004,$F$9:$F$1004,V107)),"")</f>
        <v>0</v>
      </c>
      <c r="AB107" s="155" t="s">
        <v>66</v>
      </c>
      <c r="AC107" s="45"/>
      <c r="AD107" s="45"/>
      <c r="AE107" s="156" t="e">
        <f>AE105-AE106</f>
        <v>#DIV/0!</v>
      </c>
      <c r="AF107" s="45"/>
      <c r="AG107" s="45"/>
      <c r="AH107" s="45"/>
      <c r="AI107" s="45"/>
      <c r="AJ107" s="163" t="e">
        <f t="shared" ref="AJ107:AM107" si="49">AJ105-AJ106</f>
        <v>#DIV/0!</v>
      </c>
      <c r="AK107" s="163" t="e">
        <f t="shared" si="49"/>
        <v>#DIV/0!</v>
      </c>
      <c r="AL107" s="164" t="e">
        <f t="shared" si="49"/>
        <v>#DIV/0!</v>
      </c>
      <c r="AM107" s="164" t="e">
        <f t="shared" si="49"/>
        <v>#DIV/0!</v>
      </c>
      <c r="AN107" s="165" t="e">
        <f>AN105-AN106</f>
        <v>#DIV/0!</v>
      </c>
    </row>
    <row r="108" spans="2:40" x14ac:dyDescent="0.35">
      <c r="B108" s="45" t="str">
        <f>IF(J108="","",RANK($J108,$J$9:$J$620,0)+COUNTIF($J$9:J108,$J108)-1)</f>
        <v/>
      </c>
      <c r="C108" s="46"/>
      <c r="D108" s="46"/>
      <c r="E108" s="46"/>
      <c r="F108" s="47" t="str">
        <f t="shared" si="37"/>
        <v>--</v>
      </c>
      <c r="G108" s="48"/>
      <c r="H108" s="46"/>
      <c r="I108" s="49"/>
      <c r="J108" s="50"/>
      <c r="K108" s="49"/>
      <c r="L108" s="52">
        <f t="shared" si="38"/>
        <v>31</v>
      </c>
      <c r="M108" s="52">
        <f t="shared" si="38"/>
        <v>31</v>
      </c>
      <c r="N108" s="53"/>
      <c r="O108" s="54"/>
      <c r="P108" s="55">
        <f t="shared" si="36"/>
        <v>0</v>
      </c>
      <c r="Q108" s="46"/>
      <c r="R108" s="56" t="str">
        <f t="shared" si="39"/>
        <v/>
      </c>
      <c r="S108" s="57" t="str">
        <f t="shared" si="40"/>
        <v/>
      </c>
      <c r="T108" s="58"/>
      <c r="V108" s="166" t="s">
        <v>67</v>
      </c>
      <c r="W108" s="86">
        <f>SUM(W85:W102)</f>
        <v>284</v>
      </c>
      <c r="X108" s="167">
        <f>SUMPRODUCT($W$85:$W$102,X85:X102)/$W$108</f>
        <v>0</v>
      </c>
      <c r="Y108" s="168">
        <f>SUMPRODUCT($W$85:$W$102,Y85:Y102)/$W$108</f>
        <v>0</v>
      </c>
      <c r="Z108" s="168">
        <f>SUMPRODUCT($W$85:$W$102,Z85:Z102)/$W$108</f>
        <v>0</v>
      </c>
    </row>
    <row r="109" spans="2:40" x14ac:dyDescent="0.35">
      <c r="B109" s="45" t="str">
        <f>IF(J109="","",RANK($J109,$J$9:$J$620,0)+COUNTIF($J$9:J109,$J109)-1)</f>
        <v/>
      </c>
      <c r="C109" s="46"/>
      <c r="D109" s="46"/>
      <c r="E109" s="46"/>
      <c r="F109" s="47" t="str">
        <f t="shared" si="37"/>
        <v>--</v>
      </c>
      <c r="G109" s="48"/>
      <c r="H109" s="46"/>
      <c r="I109" s="49"/>
      <c r="J109" s="49"/>
      <c r="K109" s="49"/>
      <c r="L109" s="52">
        <f t="shared" si="38"/>
        <v>31</v>
      </c>
      <c r="M109" s="52">
        <f t="shared" si="38"/>
        <v>31</v>
      </c>
      <c r="N109" s="53"/>
      <c r="O109" s="54"/>
      <c r="P109" s="55">
        <f t="shared" si="36"/>
        <v>0</v>
      </c>
      <c r="Q109" s="71"/>
      <c r="R109" s="56" t="str">
        <f t="shared" si="39"/>
        <v/>
      </c>
      <c r="S109" s="57" t="str">
        <f t="shared" si="40"/>
        <v/>
      </c>
      <c r="T109" s="58"/>
    </row>
    <row r="110" spans="2:40" x14ac:dyDescent="0.35">
      <c r="B110" s="45" t="str">
        <f>IF(J110="","",RANK($J110,$J$9:$J$620,0)+COUNTIF($J$9:J110,$J110)-1)</f>
        <v/>
      </c>
      <c r="C110" s="46"/>
      <c r="D110" s="46"/>
      <c r="E110" s="46"/>
      <c r="F110" s="47" t="str">
        <f t="shared" si="37"/>
        <v>--</v>
      </c>
      <c r="G110" s="48"/>
      <c r="H110" s="46"/>
      <c r="I110" s="49"/>
      <c r="J110" s="50"/>
      <c r="K110" s="49"/>
      <c r="L110" s="52">
        <f t="shared" si="38"/>
        <v>31</v>
      </c>
      <c r="M110" s="52">
        <f t="shared" si="38"/>
        <v>31</v>
      </c>
      <c r="N110" s="53"/>
      <c r="O110" s="54"/>
      <c r="P110" s="55">
        <f t="shared" si="36"/>
        <v>0</v>
      </c>
      <c r="Q110" s="71"/>
      <c r="R110" s="56" t="str">
        <f t="shared" si="39"/>
        <v/>
      </c>
      <c r="S110" s="57" t="str">
        <f t="shared" si="40"/>
        <v/>
      </c>
      <c r="T110" s="58"/>
    </row>
    <row r="111" spans="2:40" x14ac:dyDescent="0.35">
      <c r="B111" s="45" t="str">
        <f>IF(J111="","",RANK($J111,$J$9:$J$620,0)+COUNTIF($J$9:J111,$J111)-1)</f>
        <v/>
      </c>
      <c r="C111" s="46"/>
      <c r="D111" s="46"/>
      <c r="E111" s="46"/>
      <c r="F111" s="47" t="str">
        <f t="shared" si="37"/>
        <v>--</v>
      </c>
      <c r="G111" s="48"/>
      <c r="H111" s="46"/>
      <c r="I111" s="49"/>
      <c r="J111" s="50"/>
      <c r="K111" s="49"/>
      <c r="L111" s="52">
        <f t="shared" si="38"/>
        <v>31</v>
      </c>
      <c r="M111" s="52">
        <f t="shared" si="38"/>
        <v>31</v>
      </c>
      <c r="N111" s="53"/>
      <c r="O111" s="54"/>
      <c r="P111" s="55">
        <f t="shared" si="36"/>
        <v>0</v>
      </c>
      <c r="Q111" s="71"/>
      <c r="R111" s="56" t="str">
        <f t="shared" si="39"/>
        <v/>
      </c>
      <c r="S111" s="57" t="str">
        <f t="shared" si="40"/>
        <v/>
      </c>
      <c r="T111" s="58"/>
    </row>
    <row r="112" spans="2:40" x14ac:dyDescent="0.35">
      <c r="B112" s="45" t="str">
        <f>IF(J112="","",RANK($J112,$J$9:$J$620,0)+COUNTIF($J$9:J112,$J112)-1)</f>
        <v/>
      </c>
      <c r="C112" s="46"/>
      <c r="D112" s="46"/>
      <c r="E112" s="46"/>
      <c r="F112" s="47" t="str">
        <f t="shared" si="37"/>
        <v>--</v>
      </c>
      <c r="G112" s="48"/>
      <c r="H112" s="46"/>
      <c r="I112" s="49"/>
      <c r="J112" s="50"/>
      <c r="K112" s="49"/>
      <c r="L112" s="52">
        <f t="shared" si="38"/>
        <v>31</v>
      </c>
      <c r="M112" s="52">
        <f t="shared" si="38"/>
        <v>31</v>
      </c>
      <c r="N112" s="53"/>
      <c r="O112" s="54"/>
      <c r="P112" s="55">
        <f t="shared" si="36"/>
        <v>0</v>
      </c>
      <c r="Q112" s="71"/>
      <c r="R112" s="56" t="str">
        <f t="shared" si="39"/>
        <v/>
      </c>
      <c r="S112" s="57" t="str">
        <f t="shared" si="40"/>
        <v/>
      </c>
      <c r="T112" s="58"/>
    </row>
    <row r="113" spans="2:20" x14ac:dyDescent="0.35">
      <c r="B113" s="45" t="str">
        <f>IF(J113="","",RANK($J113,$J$9:$J$620,0)+COUNTIF($J$9:J113,$J113)-1)</f>
        <v/>
      </c>
      <c r="C113" s="46"/>
      <c r="D113" s="46"/>
      <c r="E113" s="46"/>
      <c r="F113" s="47" t="str">
        <f t="shared" si="37"/>
        <v>--</v>
      </c>
      <c r="G113" s="48"/>
      <c r="H113" s="46"/>
      <c r="I113" s="49"/>
      <c r="J113" s="49"/>
      <c r="K113" s="49"/>
      <c r="L113" s="52">
        <f t="shared" si="38"/>
        <v>31</v>
      </c>
      <c r="M113" s="52">
        <f t="shared" si="38"/>
        <v>31</v>
      </c>
      <c r="N113" s="53"/>
      <c r="O113" s="54"/>
      <c r="P113" s="55">
        <f t="shared" si="36"/>
        <v>0</v>
      </c>
      <c r="Q113" s="71"/>
      <c r="R113" s="56" t="str">
        <f t="shared" si="39"/>
        <v/>
      </c>
      <c r="S113" s="57" t="str">
        <f t="shared" si="40"/>
        <v/>
      </c>
      <c r="T113" s="58"/>
    </row>
    <row r="114" spans="2:20" x14ac:dyDescent="0.35">
      <c r="B114" s="45" t="str">
        <f>IF(J114="","",RANK($J114,$J$9:$J$620,0)+COUNTIF($J$9:J114,$J114)-1)</f>
        <v/>
      </c>
      <c r="C114" s="46"/>
      <c r="D114" s="46"/>
      <c r="E114" s="46"/>
      <c r="F114" s="47" t="str">
        <f t="shared" si="37"/>
        <v>--</v>
      </c>
      <c r="G114" s="48"/>
      <c r="H114" s="46"/>
      <c r="I114" s="49"/>
      <c r="J114" s="50"/>
      <c r="K114" s="49"/>
      <c r="L114" s="52">
        <f t="shared" si="38"/>
        <v>31</v>
      </c>
      <c r="M114" s="52">
        <f t="shared" si="38"/>
        <v>31</v>
      </c>
      <c r="N114" s="53"/>
      <c r="O114" s="54"/>
      <c r="P114" s="55">
        <f t="shared" si="36"/>
        <v>0</v>
      </c>
      <c r="Q114" s="71"/>
      <c r="R114" s="56" t="str">
        <f t="shared" si="39"/>
        <v/>
      </c>
      <c r="S114" s="57" t="str">
        <f t="shared" si="40"/>
        <v/>
      </c>
      <c r="T114" s="58"/>
    </row>
    <row r="115" spans="2:20" x14ac:dyDescent="0.35">
      <c r="B115" s="45" t="str">
        <f>IF(J115="","",RANK($J115,$J$9:$J$620,0)+COUNTIF($J$9:J115,$J115)-1)</f>
        <v/>
      </c>
      <c r="C115" s="46"/>
      <c r="D115" s="46"/>
      <c r="E115" s="46"/>
      <c r="F115" s="47" t="str">
        <f t="shared" si="37"/>
        <v>--</v>
      </c>
      <c r="G115" s="48"/>
      <c r="H115" s="46"/>
      <c r="I115" s="49"/>
      <c r="J115" s="49"/>
      <c r="K115" s="49"/>
      <c r="L115" s="52">
        <f t="shared" si="38"/>
        <v>31</v>
      </c>
      <c r="M115" s="52">
        <f t="shared" si="38"/>
        <v>31</v>
      </c>
      <c r="N115" s="53"/>
      <c r="O115" s="54"/>
      <c r="P115" s="55">
        <f t="shared" si="36"/>
        <v>0</v>
      </c>
      <c r="Q115" s="71"/>
      <c r="R115" s="56" t="str">
        <f t="shared" si="39"/>
        <v/>
      </c>
      <c r="S115" s="57" t="str">
        <f t="shared" si="40"/>
        <v/>
      </c>
      <c r="T115" s="58"/>
    </row>
    <row r="116" spans="2:20" x14ac:dyDescent="0.35">
      <c r="B116" s="45" t="str">
        <f>IF(J116="","",RANK($J116,$J$9:$J$620,0)+COUNTIF($J$9:J116,$J116)-1)</f>
        <v/>
      </c>
      <c r="C116" s="46"/>
      <c r="D116" s="46"/>
      <c r="E116" s="46"/>
      <c r="F116" s="47" t="str">
        <f t="shared" si="37"/>
        <v>--</v>
      </c>
      <c r="G116" s="48"/>
      <c r="H116" s="46"/>
      <c r="I116" s="49"/>
      <c r="J116" s="49"/>
      <c r="K116" s="49"/>
      <c r="L116" s="52">
        <f t="shared" si="38"/>
        <v>31</v>
      </c>
      <c r="M116" s="52">
        <f t="shared" si="38"/>
        <v>31</v>
      </c>
      <c r="N116" s="53"/>
      <c r="O116" s="54"/>
      <c r="P116" s="55">
        <f t="shared" si="36"/>
        <v>0</v>
      </c>
      <c r="Q116" s="71"/>
      <c r="R116" s="56" t="str">
        <f t="shared" si="39"/>
        <v/>
      </c>
      <c r="S116" s="57" t="str">
        <f t="shared" si="40"/>
        <v/>
      </c>
      <c r="T116" s="58"/>
    </row>
    <row r="117" spans="2:20" x14ac:dyDescent="0.35">
      <c r="B117" s="45" t="str">
        <f>IF(J117="","",RANK($J117,$J$9:$J$620,0)+COUNTIF($J$9:J117,$J117)-1)</f>
        <v/>
      </c>
      <c r="C117" s="46"/>
      <c r="D117" s="46"/>
      <c r="E117" s="46"/>
      <c r="F117" s="47" t="str">
        <f t="shared" si="37"/>
        <v>--</v>
      </c>
      <c r="G117" s="48"/>
      <c r="H117" s="46"/>
      <c r="I117" s="49"/>
      <c r="J117" s="50"/>
      <c r="K117" s="49"/>
      <c r="L117" s="52">
        <f t="shared" si="38"/>
        <v>31</v>
      </c>
      <c r="M117" s="52">
        <f t="shared" si="38"/>
        <v>31</v>
      </c>
      <c r="N117" s="53"/>
      <c r="O117" s="54"/>
      <c r="P117" s="55">
        <f t="shared" si="36"/>
        <v>0</v>
      </c>
      <c r="Q117" s="71"/>
      <c r="R117" s="56" t="str">
        <f t="shared" si="39"/>
        <v/>
      </c>
      <c r="S117" s="57" t="str">
        <f t="shared" si="40"/>
        <v/>
      </c>
      <c r="T117" s="58"/>
    </row>
    <row r="118" spans="2:20" x14ac:dyDescent="0.35">
      <c r="B118" s="45" t="str">
        <f>IF(J118="","",RANK($J118,$J$9:$J$620,0)+COUNTIF($J$9:J118,$J118)-1)</f>
        <v/>
      </c>
      <c r="C118" s="46"/>
      <c r="D118" s="46"/>
      <c r="E118" s="46"/>
      <c r="F118" s="47" t="str">
        <f t="shared" si="37"/>
        <v>--</v>
      </c>
      <c r="G118" s="48"/>
      <c r="H118" s="46"/>
      <c r="I118" s="49"/>
      <c r="J118" s="49"/>
      <c r="K118" s="49"/>
      <c r="L118" s="52">
        <f t="shared" si="38"/>
        <v>31</v>
      </c>
      <c r="M118" s="52">
        <f t="shared" si="38"/>
        <v>31</v>
      </c>
      <c r="N118" s="53"/>
      <c r="O118" s="54"/>
      <c r="P118" s="55">
        <f t="shared" si="36"/>
        <v>0</v>
      </c>
      <c r="Q118" s="71"/>
      <c r="R118" s="56" t="str">
        <f t="shared" si="39"/>
        <v/>
      </c>
      <c r="S118" s="57" t="str">
        <f t="shared" si="40"/>
        <v/>
      </c>
      <c r="T118" s="58"/>
    </row>
    <row r="119" spans="2:20" x14ac:dyDescent="0.35">
      <c r="B119" s="45" t="str">
        <f>IF(J119="","",RANK($J119,$J$9:$J$620,0)+COUNTIF($J$9:J119,$J119)-1)</f>
        <v/>
      </c>
      <c r="C119" s="46"/>
      <c r="D119" s="46"/>
      <c r="E119" s="46"/>
      <c r="F119" s="47" t="str">
        <f t="shared" si="37"/>
        <v>--</v>
      </c>
      <c r="G119" s="48"/>
      <c r="H119" s="46"/>
      <c r="I119" s="49"/>
      <c r="J119" s="50"/>
      <c r="K119" s="49"/>
      <c r="L119" s="52">
        <f t="shared" si="38"/>
        <v>31</v>
      </c>
      <c r="M119" s="52">
        <f t="shared" si="38"/>
        <v>31</v>
      </c>
      <c r="N119" s="53"/>
      <c r="O119" s="54"/>
      <c r="P119" s="55">
        <f t="shared" si="36"/>
        <v>0</v>
      </c>
      <c r="Q119" s="71"/>
      <c r="R119" s="56" t="str">
        <f t="shared" si="39"/>
        <v/>
      </c>
      <c r="S119" s="57" t="str">
        <f t="shared" si="40"/>
        <v/>
      </c>
      <c r="T119" s="58"/>
    </row>
    <row r="120" spans="2:20" x14ac:dyDescent="0.35">
      <c r="B120" s="45" t="str">
        <f>IF(J120="","",RANK($J120,$J$9:$J$620,0)+COUNTIF($J$9:J120,$J120)-1)</f>
        <v/>
      </c>
      <c r="C120" s="46"/>
      <c r="D120" s="46"/>
      <c r="E120" s="46"/>
      <c r="F120" s="47" t="str">
        <f t="shared" si="37"/>
        <v>--</v>
      </c>
      <c r="G120" s="48"/>
      <c r="H120" s="46"/>
      <c r="I120" s="49"/>
      <c r="J120" s="50"/>
      <c r="K120" s="49"/>
      <c r="L120" s="52">
        <f t="shared" si="38"/>
        <v>31</v>
      </c>
      <c r="M120" s="52">
        <f t="shared" si="38"/>
        <v>31</v>
      </c>
      <c r="N120" s="53"/>
      <c r="O120" s="54"/>
      <c r="P120" s="55">
        <f t="shared" si="36"/>
        <v>0</v>
      </c>
      <c r="Q120" s="71"/>
      <c r="R120" s="56" t="str">
        <f t="shared" si="39"/>
        <v/>
      </c>
      <c r="S120" s="57" t="str">
        <f t="shared" si="40"/>
        <v/>
      </c>
      <c r="T120" s="58"/>
    </row>
    <row r="121" spans="2:20" x14ac:dyDescent="0.35">
      <c r="B121" s="45" t="str">
        <f>IF(J121="","",RANK($J121,$J$9:$J$620,0)+COUNTIF($J$9:J121,$J121)-1)</f>
        <v/>
      </c>
      <c r="C121" s="46"/>
      <c r="D121" s="46"/>
      <c r="E121" s="46"/>
      <c r="F121" s="47" t="str">
        <f t="shared" si="37"/>
        <v>--</v>
      </c>
      <c r="G121" s="48"/>
      <c r="H121" s="46"/>
      <c r="I121" s="49"/>
      <c r="J121" s="49"/>
      <c r="K121" s="49"/>
      <c r="L121" s="52">
        <f t="shared" si="38"/>
        <v>31</v>
      </c>
      <c r="M121" s="52">
        <f t="shared" si="38"/>
        <v>31</v>
      </c>
      <c r="N121" s="53"/>
      <c r="O121" s="54"/>
      <c r="P121" s="55">
        <f t="shared" si="36"/>
        <v>0</v>
      </c>
      <c r="Q121" s="71"/>
      <c r="R121" s="56" t="str">
        <f t="shared" si="39"/>
        <v/>
      </c>
      <c r="S121" s="57" t="str">
        <f t="shared" si="40"/>
        <v/>
      </c>
      <c r="T121" s="58"/>
    </row>
    <row r="122" spans="2:20" x14ac:dyDescent="0.35">
      <c r="B122" s="45" t="str">
        <f>IF(J122="","",RANK($J122,$J$9:$J$620,0)+COUNTIF($J$9:J122,$J122)-1)</f>
        <v/>
      </c>
      <c r="C122" s="46"/>
      <c r="D122" s="46"/>
      <c r="E122" s="46"/>
      <c r="F122" s="47" t="str">
        <f t="shared" si="37"/>
        <v>--</v>
      </c>
      <c r="G122" s="48"/>
      <c r="H122" s="46"/>
      <c r="I122" s="49"/>
      <c r="J122" s="50"/>
      <c r="K122" s="49"/>
      <c r="L122" s="52">
        <f t="shared" si="38"/>
        <v>31</v>
      </c>
      <c r="M122" s="52">
        <f t="shared" si="38"/>
        <v>31</v>
      </c>
      <c r="N122" s="53"/>
      <c r="O122" s="54"/>
      <c r="P122" s="55">
        <f t="shared" si="36"/>
        <v>0</v>
      </c>
      <c r="Q122" s="46"/>
      <c r="R122" s="56" t="str">
        <f t="shared" si="39"/>
        <v/>
      </c>
      <c r="S122" s="57" t="str">
        <f t="shared" si="40"/>
        <v/>
      </c>
      <c r="T122" s="58"/>
    </row>
    <row r="123" spans="2:20" x14ac:dyDescent="0.35">
      <c r="B123" s="45" t="str">
        <f>IF(J123="","",RANK($J123,$J$9:$J$620,0)+COUNTIF($J$9:J123,$J123)-1)</f>
        <v/>
      </c>
      <c r="C123" s="46"/>
      <c r="D123" s="46"/>
      <c r="E123" s="46"/>
      <c r="F123" s="47" t="str">
        <f t="shared" si="37"/>
        <v>--</v>
      </c>
      <c r="G123" s="48"/>
      <c r="H123" s="46"/>
      <c r="I123" s="49"/>
      <c r="J123" s="50"/>
      <c r="K123" s="49"/>
      <c r="L123" s="52">
        <f t="shared" si="38"/>
        <v>31</v>
      </c>
      <c r="M123" s="52">
        <f t="shared" si="38"/>
        <v>31</v>
      </c>
      <c r="N123" s="53"/>
      <c r="O123" s="54"/>
      <c r="P123" s="55">
        <f t="shared" si="36"/>
        <v>0</v>
      </c>
      <c r="Q123" s="71"/>
      <c r="R123" s="56" t="str">
        <f t="shared" si="39"/>
        <v/>
      </c>
      <c r="S123" s="57" t="str">
        <f t="shared" si="40"/>
        <v/>
      </c>
      <c r="T123" s="58"/>
    </row>
    <row r="124" spans="2:20" x14ac:dyDescent="0.35">
      <c r="B124" s="45" t="str">
        <f>IF(J124="","",RANK($J124,$J$9:$J$620,0)+COUNTIF($J$9:J124,$J124)-1)</f>
        <v/>
      </c>
      <c r="C124" s="46"/>
      <c r="D124" s="46"/>
      <c r="E124" s="46"/>
      <c r="F124" s="47" t="str">
        <f t="shared" si="37"/>
        <v>--</v>
      </c>
      <c r="G124" s="48"/>
      <c r="H124" s="46"/>
      <c r="I124" s="49"/>
      <c r="J124" s="49"/>
      <c r="K124" s="49"/>
      <c r="L124" s="52">
        <f t="shared" si="38"/>
        <v>31</v>
      </c>
      <c r="M124" s="52">
        <f t="shared" si="38"/>
        <v>31</v>
      </c>
      <c r="N124" s="53"/>
      <c r="O124" s="54"/>
      <c r="P124" s="55">
        <f t="shared" si="36"/>
        <v>0</v>
      </c>
      <c r="Q124" s="71"/>
      <c r="R124" s="56" t="str">
        <f t="shared" si="39"/>
        <v/>
      </c>
      <c r="S124" s="57" t="str">
        <f t="shared" si="40"/>
        <v/>
      </c>
      <c r="T124" s="58"/>
    </row>
    <row r="125" spans="2:20" x14ac:dyDescent="0.35">
      <c r="B125" s="45" t="str">
        <f>IF(J125="","",RANK($J125,$J$9:$J$620,0)+COUNTIF($J$9:J125,$J125)-1)</f>
        <v/>
      </c>
      <c r="C125" s="46"/>
      <c r="D125" s="46"/>
      <c r="E125" s="46"/>
      <c r="F125" s="47" t="str">
        <f t="shared" si="37"/>
        <v>--</v>
      </c>
      <c r="G125" s="48"/>
      <c r="H125" s="46"/>
      <c r="I125" s="49"/>
      <c r="J125" s="50"/>
      <c r="K125" s="49"/>
      <c r="L125" s="52">
        <f t="shared" si="38"/>
        <v>31</v>
      </c>
      <c r="M125" s="52">
        <f t="shared" si="38"/>
        <v>31</v>
      </c>
      <c r="N125" s="53"/>
      <c r="O125" s="54"/>
      <c r="P125" s="55">
        <f t="shared" si="36"/>
        <v>0</v>
      </c>
      <c r="Q125" s="71"/>
      <c r="R125" s="56" t="str">
        <f t="shared" si="39"/>
        <v/>
      </c>
      <c r="S125" s="57" t="str">
        <f t="shared" si="40"/>
        <v/>
      </c>
      <c r="T125" s="58"/>
    </row>
    <row r="126" spans="2:20" x14ac:dyDescent="0.35">
      <c r="B126" s="45" t="str">
        <f>IF(J126="","",RANK($J126,$J$9:$J$620,0)+COUNTIF($J$9:J126,$J126)-1)</f>
        <v/>
      </c>
      <c r="C126" s="46"/>
      <c r="D126" s="46"/>
      <c r="E126" s="46"/>
      <c r="F126" s="47" t="str">
        <f t="shared" si="37"/>
        <v>--</v>
      </c>
      <c r="G126" s="48"/>
      <c r="H126" s="46"/>
      <c r="I126" s="49"/>
      <c r="J126" s="50"/>
      <c r="K126" s="49"/>
      <c r="L126" s="52">
        <f t="shared" si="38"/>
        <v>31</v>
      </c>
      <c r="M126" s="52">
        <f t="shared" si="38"/>
        <v>31</v>
      </c>
      <c r="N126" s="53"/>
      <c r="O126" s="54"/>
      <c r="P126" s="55">
        <f t="shared" si="36"/>
        <v>0</v>
      </c>
      <c r="Q126" s="71"/>
      <c r="R126" s="56" t="str">
        <f t="shared" si="39"/>
        <v/>
      </c>
      <c r="S126" s="57" t="str">
        <f t="shared" si="40"/>
        <v/>
      </c>
      <c r="T126" s="58"/>
    </row>
    <row r="127" spans="2:20" x14ac:dyDescent="0.35">
      <c r="B127" s="45" t="str">
        <f>IF(J127="","",RANK($J127,$J$9:$J$620,0)+COUNTIF($J$9:J127,$J127)-1)</f>
        <v/>
      </c>
      <c r="C127" s="46"/>
      <c r="D127" s="46"/>
      <c r="E127" s="46"/>
      <c r="F127" s="47" t="str">
        <f t="shared" si="37"/>
        <v>--</v>
      </c>
      <c r="G127" s="48"/>
      <c r="H127" s="46"/>
      <c r="I127" s="49"/>
      <c r="J127" s="50"/>
      <c r="K127" s="49"/>
      <c r="L127" s="52">
        <f t="shared" si="38"/>
        <v>31</v>
      </c>
      <c r="M127" s="52">
        <f t="shared" si="38"/>
        <v>31</v>
      </c>
      <c r="N127" s="53"/>
      <c r="O127" s="54"/>
      <c r="P127" s="55">
        <f t="shared" si="36"/>
        <v>0</v>
      </c>
      <c r="Q127" s="71"/>
      <c r="R127" s="56" t="str">
        <f t="shared" si="39"/>
        <v/>
      </c>
      <c r="S127" s="57" t="str">
        <f t="shared" si="40"/>
        <v/>
      </c>
      <c r="T127" s="58"/>
    </row>
    <row r="128" spans="2:20" x14ac:dyDescent="0.35">
      <c r="B128" s="45" t="str">
        <f>IF(J128="","",RANK($J128,$J$9:$J$620,0)+COUNTIF($J$9:J128,$J128)-1)</f>
        <v/>
      </c>
      <c r="C128" s="46"/>
      <c r="D128" s="46"/>
      <c r="E128" s="46"/>
      <c r="F128" s="47" t="str">
        <f t="shared" si="37"/>
        <v>--</v>
      </c>
      <c r="G128" s="48"/>
      <c r="H128" s="46"/>
      <c r="I128" s="49"/>
      <c r="J128" s="50"/>
      <c r="K128" s="49"/>
      <c r="L128" s="52">
        <f t="shared" si="38"/>
        <v>31</v>
      </c>
      <c r="M128" s="52">
        <f t="shared" si="38"/>
        <v>31</v>
      </c>
      <c r="N128" s="53"/>
      <c r="O128" s="54"/>
      <c r="P128" s="55">
        <f t="shared" si="36"/>
        <v>0</v>
      </c>
      <c r="Q128" s="46"/>
      <c r="R128" s="56" t="str">
        <f t="shared" si="39"/>
        <v/>
      </c>
      <c r="S128" s="57" t="str">
        <f t="shared" si="40"/>
        <v/>
      </c>
      <c r="T128" s="58"/>
    </row>
    <row r="129" spans="2:20" x14ac:dyDescent="0.35">
      <c r="B129" s="45" t="str">
        <f>IF(J129="","",RANK($J129,$J$9:$J$620,0)+COUNTIF($J$9:J129,$J129)-1)</f>
        <v/>
      </c>
      <c r="C129" s="46"/>
      <c r="D129" s="46"/>
      <c r="E129" s="46"/>
      <c r="F129" s="47" t="str">
        <f t="shared" si="37"/>
        <v>--</v>
      </c>
      <c r="G129" s="48"/>
      <c r="H129" s="46"/>
      <c r="I129" s="49"/>
      <c r="J129" s="49"/>
      <c r="K129" s="49"/>
      <c r="L129" s="52">
        <f t="shared" si="38"/>
        <v>31</v>
      </c>
      <c r="M129" s="52">
        <f t="shared" si="38"/>
        <v>31</v>
      </c>
      <c r="N129" s="53"/>
      <c r="O129" s="54"/>
      <c r="P129" s="55">
        <f t="shared" si="36"/>
        <v>0</v>
      </c>
      <c r="Q129" s="71"/>
      <c r="R129" s="56" t="str">
        <f t="shared" si="39"/>
        <v/>
      </c>
      <c r="S129" s="57" t="str">
        <f t="shared" si="40"/>
        <v/>
      </c>
      <c r="T129" s="58"/>
    </row>
    <row r="130" spans="2:20" x14ac:dyDescent="0.35">
      <c r="B130" s="45" t="str">
        <f>IF(J130="","",RANK($J130,$J$9:$J$620,0)+COUNTIF($J$9:J130,$J130)-1)</f>
        <v/>
      </c>
      <c r="C130" s="46"/>
      <c r="D130" s="46"/>
      <c r="E130" s="46"/>
      <c r="F130" s="47" t="str">
        <f t="shared" si="37"/>
        <v>--</v>
      </c>
      <c r="G130" s="48"/>
      <c r="H130" s="46"/>
      <c r="I130" s="49"/>
      <c r="J130" s="50"/>
      <c r="K130" s="49"/>
      <c r="L130" s="52">
        <f t="shared" ref="L130:M145" si="50">EOMONTH(J130,0)</f>
        <v>31</v>
      </c>
      <c r="M130" s="52">
        <f t="shared" si="50"/>
        <v>31</v>
      </c>
      <c r="N130" s="53"/>
      <c r="O130" s="54"/>
      <c r="P130" s="55">
        <f t="shared" si="36"/>
        <v>0</v>
      </c>
      <c r="Q130" s="71"/>
      <c r="R130" s="56" t="str">
        <f t="shared" si="39"/>
        <v/>
      </c>
      <c r="S130" s="57" t="str">
        <f t="shared" si="40"/>
        <v/>
      </c>
      <c r="T130" s="58"/>
    </row>
    <row r="131" spans="2:20" x14ac:dyDescent="0.35">
      <c r="B131" s="45" t="str">
        <f>IF(J131="","",RANK($J131,$J$9:$J$620,0)+COUNTIF($J$9:J131,$J131)-1)</f>
        <v/>
      </c>
      <c r="C131" s="46"/>
      <c r="D131" s="46"/>
      <c r="E131" s="46"/>
      <c r="F131" s="47" t="str">
        <f t="shared" si="37"/>
        <v>--</v>
      </c>
      <c r="G131" s="48"/>
      <c r="H131" s="46"/>
      <c r="I131" s="49"/>
      <c r="J131" s="50"/>
      <c r="K131" s="49"/>
      <c r="L131" s="52">
        <f t="shared" si="50"/>
        <v>31</v>
      </c>
      <c r="M131" s="52">
        <f t="shared" si="50"/>
        <v>31</v>
      </c>
      <c r="N131" s="53"/>
      <c r="O131" s="54"/>
      <c r="P131" s="55">
        <f t="shared" si="36"/>
        <v>0</v>
      </c>
      <c r="Q131" s="71"/>
      <c r="R131" s="56" t="str">
        <f t="shared" si="39"/>
        <v/>
      </c>
      <c r="S131" s="57" t="str">
        <f t="shared" si="40"/>
        <v/>
      </c>
      <c r="T131" s="58"/>
    </row>
    <row r="132" spans="2:20" x14ac:dyDescent="0.35">
      <c r="B132" s="45" t="str">
        <f>IF(J132="","",RANK($J132,$J$9:$J$620,0)+COUNTIF($J$9:J132,$J132)-1)</f>
        <v/>
      </c>
      <c r="C132" s="46"/>
      <c r="D132" s="46"/>
      <c r="E132" s="46"/>
      <c r="F132" s="47" t="str">
        <f t="shared" si="37"/>
        <v>--</v>
      </c>
      <c r="G132" s="48"/>
      <c r="H132" s="46"/>
      <c r="I132" s="49"/>
      <c r="J132" s="50"/>
      <c r="K132" s="49"/>
      <c r="L132" s="52">
        <f t="shared" si="50"/>
        <v>31</v>
      </c>
      <c r="M132" s="52">
        <f t="shared" si="50"/>
        <v>31</v>
      </c>
      <c r="N132" s="53"/>
      <c r="O132" s="54"/>
      <c r="P132" s="55">
        <f t="shared" si="36"/>
        <v>0</v>
      </c>
      <c r="Q132" s="71"/>
      <c r="R132" s="56" t="str">
        <f t="shared" si="39"/>
        <v/>
      </c>
      <c r="S132" s="57" t="str">
        <f t="shared" si="40"/>
        <v/>
      </c>
      <c r="T132" s="58"/>
    </row>
    <row r="133" spans="2:20" x14ac:dyDescent="0.35">
      <c r="B133" s="45" t="str">
        <f>IF(J133="","",RANK($J133,$J$9:$J$620,0)+COUNTIF($J$9:J133,$J133)-1)</f>
        <v/>
      </c>
      <c r="C133" s="46"/>
      <c r="D133" s="46"/>
      <c r="E133" s="46"/>
      <c r="F133" s="47" t="str">
        <f t="shared" si="37"/>
        <v>--</v>
      </c>
      <c r="G133" s="48"/>
      <c r="H133" s="46"/>
      <c r="I133" s="49"/>
      <c r="J133" s="50"/>
      <c r="K133" s="49"/>
      <c r="L133" s="52">
        <f t="shared" si="50"/>
        <v>31</v>
      </c>
      <c r="M133" s="52">
        <f t="shared" si="50"/>
        <v>31</v>
      </c>
      <c r="N133" s="53"/>
      <c r="O133" s="54"/>
      <c r="P133" s="55">
        <f t="shared" si="36"/>
        <v>0</v>
      </c>
      <c r="Q133" s="71"/>
      <c r="R133" s="56" t="str">
        <f t="shared" si="39"/>
        <v/>
      </c>
      <c r="S133" s="57" t="str">
        <f t="shared" si="40"/>
        <v/>
      </c>
      <c r="T133" s="58"/>
    </row>
    <row r="134" spans="2:20" x14ac:dyDescent="0.35">
      <c r="B134" s="45" t="str">
        <f>IF(J134="","",RANK($J134,$J$9:$J$620,0)+COUNTIF($J$9:J134,$J134)-1)</f>
        <v/>
      </c>
      <c r="C134" s="46"/>
      <c r="D134" s="46"/>
      <c r="E134" s="46"/>
      <c r="F134" s="47" t="str">
        <f t="shared" si="37"/>
        <v>--</v>
      </c>
      <c r="G134" s="48"/>
      <c r="H134" s="46"/>
      <c r="I134" s="49"/>
      <c r="J134" s="50"/>
      <c r="K134" s="49"/>
      <c r="L134" s="52">
        <f t="shared" si="50"/>
        <v>31</v>
      </c>
      <c r="M134" s="52">
        <f t="shared" si="50"/>
        <v>31</v>
      </c>
      <c r="N134" s="53"/>
      <c r="O134" s="54"/>
      <c r="P134" s="55">
        <f t="shared" si="36"/>
        <v>0</v>
      </c>
      <c r="Q134" s="71"/>
      <c r="R134" s="56" t="str">
        <f t="shared" si="39"/>
        <v/>
      </c>
      <c r="S134" s="57" t="str">
        <f t="shared" si="40"/>
        <v/>
      </c>
      <c r="T134" s="58"/>
    </row>
    <row r="135" spans="2:20" x14ac:dyDescent="0.35">
      <c r="B135" s="45" t="str">
        <f>IF(J135="","",RANK($J135,$J$9:$J$620,0)+COUNTIF($J$9:J135,$J135)-1)</f>
        <v/>
      </c>
      <c r="C135" s="46"/>
      <c r="D135" s="46"/>
      <c r="E135" s="46"/>
      <c r="F135" s="47" t="str">
        <f t="shared" si="37"/>
        <v>--</v>
      </c>
      <c r="G135" s="48"/>
      <c r="H135" s="46"/>
      <c r="I135" s="49"/>
      <c r="J135" s="50"/>
      <c r="K135" s="51"/>
      <c r="L135" s="52">
        <f t="shared" si="50"/>
        <v>31</v>
      </c>
      <c r="M135" s="52">
        <f t="shared" si="50"/>
        <v>31</v>
      </c>
      <c r="N135" s="53"/>
      <c r="O135" s="54"/>
      <c r="P135" s="55">
        <f t="shared" si="36"/>
        <v>0</v>
      </c>
      <c r="Q135" s="71"/>
      <c r="R135" s="56" t="str">
        <f t="shared" si="39"/>
        <v/>
      </c>
      <c r="S135" s="57" t="str">
        <f t="shared" si="40"/>
        <v/>
      </c>
      <c r="T135" s="58"/>
    </row>
    <row r="136" spans="2:20" x14ac:dyDescent="0.35">
      <c r="B136" s="45" t="str">
        <f>IF(J136="","",RANK($J136,$J$9:$J$620,0)+COUNTIF($J$9:J136,$J136)-1)</f>
        <v/>
      </c>
      <c r="C136" s="46"/>
      <c r="D136" s="46"/>
      <c r="E136" s="46"/>
      <c r="F136" s="47" t="str">
        <f t="shared" si="37"/>
        <v>--</v>
      </c>
      <c r="G136" s="48"/>
      <c r="H136" s="46"/>
      <c r="I136" s="49"/>
      <c r="J136" s="50"/>
      <c r="K136" s="51"/>
      <c r="L136" s="52">
        <f t="shared" si="50"/>
        <v>31</v>
      </c>
      <c r="M136" s="52">
        <f t="shared" si="50"/>
        <v>31</v>
      </c>
      <c r="N136" s="53"/>
      <c r="O136" s="54"/>
      <c r="P136" s="55">
        <f t="shared" si="36"/>
        <v>0</v>
      </c>
      <c r="Q136" s="71"/>
      <c r="R136" s="56" t="str">
        <f t="shared" si="39"/>
        <v/>
      </c>
      <c r="S136" s="57" t="str">
        <f t="shared" si="40"/>
        <v/>
      </c>
      <c r="T136" s="58"/>
    </row>
    <row r="137" spans="2:20" x14ac:dyDescent="0.35">
      <c r="B137" s="45" t="str">
        <f>IF(J137="","",RANK($J137,$J$9:$J$620,0)+COUNTIF($J$9:J137,$J137)-1)</f>
        <v/>
      </c>
      <c r="C137" s="46"/>
      <c r="D137" s="46"/>
      <c r="E137" s="46"/>
      <c r="F137" s="47" t="str">
        <f t="shared" si="37"/>
        <v>--</v>
      </c>
      <c r="G137" s="48"/>
      <c r="H137" s="46"/>
      <c r="I137" s="49"/>
      <c r="J137" s="50"/>
      <c r="K137" s="51"/>
      <c r="L137" s="52">
        <f t="shared" si="50"/>
        <v>31</v>
      </c>
      <c r="M137" s="52">
        <f t="shared" si="50"/>
        <v>31</v>
      </c>
      <c r="N137" s="53"/>
      <c r="O137" s="54"/>
      <c r="P137" s="55">
        <f t="shared" ref="P137:P200" si="51">VLOOKUP(F137,$V$8:$AP$43,COLUMNS($V$9:$AB$9),0)</f>
        <v>0</v>
      </c>
      <c r="Q137" s="71"/>
      <c r="R137" s="56" t="str">
        <f t="shared" si="39"/>
        <v/>
      </c>
      <c r="S137" s="57" t="str">
        <f t="shared" si="40"/>
        <v/>
      </c>
      <c r="T137" s="58"/>
    </row>
    <row r="138" spans="2:20" x14ac:dyDescent="0.35">
      <c r="B138" s="45" t="str">
        <f>IF(J138="","",RANK($J138,$J$9:$J$620,0)+COUNTIF($J$9:J138,$J138)-1)</f>
        <v/>
      </c>
      <c r="C138" s="46"/>
      <c r="D138" s="46"/>
      <c r="E138" s="46"/>
      <c r="F138" s="47" t="str">
        <f t="shared" ref="F138:F201" si="52">G138&amp;"-"&amp;E138&amp;"-"&amp;D138</f>
        <v>--</v>
      </c>
      <c r="G138" s="48"/>
      <c r="H138" s="46"/>
      <c r="I138" s="49"/>
      <c r="J138" s="50"/>
      <c r="K138" s="51"/>
      <c r="L138" s="52">
        <f t="shared" si="50"/>
        <v>31</v>
      </c>
      <c r="M138" s="52">
        <f t="shared" si="50"/>
        <v>31</v>
      </c>
      <c r="N138" s="53"/>
      <c r="O138" s="54"/>
      <c r="P138" s="55">
        <f t="shared" si="51"/>
        <v>0</v>
      </c>
      <c r="Q138" s="46"/>
      <c r="R138" s="56" t="str">
        <f t="shared" ref="R138:R201" si="53">IF(I138="","",IF(($G$5-I138)/365&gt;1.5,"Renewed Lease","New Lease"))</f>
        <v/>
      </c>
      <c r="S138" s="57" t="str">
        <f t="shared" ref="S138:S201" si="54">IF(Q138="","",IFERROR(1-Q138/P138,""))</f>
        <v/>
      </c>
      <c r="T138" s="58"/>
    </row>
    <row r="139" spans="2:20" x14ac:dyDescent="0.35">
      <c r="B139" s="45" t="str">
        <f>IF(J139="","",RANK($J139,$J$9:$J$620,0)+COUNTIF($J$9:J139,$J139)-1)</f>
        <v/>
      </c>
      <c r="C139" s="46"/>
      <c r="D139" s="46"/>
      <c r="E139" s="46"/>
      <c r="F139" s="47" t="str">
        <f t="shared" si="52"/>
        <v>--</v>
      </c>
      <c r="G139" s="48"/>
      <c r="H139" s="46"/>
      <c r="I139" s="49"/>
      <c r="J139" s="50"/>
      <c r="K139" s="51"/>
      <c r="L139" s="52">
        <f t="shared" si="50"/>
        <v>31</v>
      </c>
      <c r="M139" s="52">
        <f t="shared" si="50"/>
        <v>31</v>
      </c>
      <c r="N139" s="53"/>
      <c r="O139" s="54"/>
      <c r="P139" s="55">
        <f t="shared" si="51"/>
        <v>0</v>
      </c>
      <c r="Q139" s="71"/>
      <c r="R139" s="56" t="str">
        <f t="shared" si="53"/>
        <v/>
      </c>
      <c r="S139" s="57" t="str">
        <f t="shared" si="54"/>
        <v/>
      </c>
      <c r="T139" s="58"/>
    </row>
    <row r="140" spans="2:20" x14ac:dyDescent="0.35">
      <c r="B140" s="45" t="str">
        <f>IF(J140="","",RANK($J140,$J$9:$J$620,0)+COUNTIF($J$9:J140,$J140)-1)</f>
        <v/>
      </c>
      <c r="C140" s="46"/>
      <c r="D140" s="46"/>
      <c r="E140" s="46"/>
      <c r="F140" s="47" t="str">
        <f t="shared" si="52"/>
        <v>--</v>
      </c>
      <c r="G140" s="48"/>
      <c r="H140" s="46"/>
      <c r="I140" s="49"/>
      <c r="J140" s="50"/>
      <c r="K140" s="51"/>
      <c r="L140" s="52">
        <f t="shared" si="50"/>
        <v>31</v>
      </c>
      <c r="M140" s="52">
        <f t="shared" si="50"/>
        <v>31</v>
      </c>
      <c r="N140" s="53"/>
      <c r="O140" s="54"/>
      <c r="P140" s="55">
        <f t="shared" si="51"/>
        <v>0</v>
      </c>
      <c r="Q140" s="71"/>
      <c r="R140" s="56" t="str">
        <f t="shared" si="53"/>
        <v/>
      </c>
      <c r="S140" s="57" t="str">
        <f t="shared" si="54"/>
        <v/>
      </c>
      <c r="T140" s="58"/>
    </row>
    <row r="141" spans="2:20" x14ac:dyDescent="0.35">
      <c r="B141" s="45" t="str">
        <f>IF(J141="","",RANK($J141,$J$9:$J$620,0)+COUNTIF($J$9:J141,$J141)-1)</f>
        <v/>
      </c>
      <c r="C141" s="46"/>
      <c r="D141" s="46"/>
      <c r="E141" s="46"/>
      <c r="F141" s="47" t="str">
        <f t="shared" si="52"/>
        <v>--</v>
      </c>
      <c r="G141" s="48"/>
      <c r="H141" s="46"/>
      <c r="I141" s="49"/>
      <c r="J141" s="50"/>
      <c r="K141" s="51"/>
      <c r="L141" s="52">
        <f t="shared" si="50"/>
        <v>31</v>
      </c>
      <c r="M141" s="52">
        <f t="shared" si="50"/>
        <v>31</v>
      </c>
      <c r="N141" s="53"/>
      <c r="O141" s="54"/>
      <c r="P141" s="55">
        <f t="shared" si="51"/>
        <v>0</v>
      </c>
      <c r="Q141" s="71"/>
      <c r="R141" s="56" t="str">
        <f t="shared" si="53"/>
        <v/>
      </c>
      <c r="S141" s="57" t="str">
        <f t="shared" si="54"/>
        <v/>
      </c>
      <c r="T141" s="58"/>
    </row>
    <row r="142" spans="2:20" x14ac:dyDescent="0.35">
      <c r="B142" s="45" t="str">
        <f>IF(J142="","",RANK($J142,$J$9:$J$620,0)+COUNTIF($J$9:J142,$J142)-1)</f>
        <v/>
      </c>
      <c r="C142" s="46"/>
      <c r="D142" s="46"/>
      <c r="E142" s="46"/>
      <c r="F142" s="47" t="str">
        <f t="shared" si="52"/>
        <v>--</v>
      </c>
      <c r="G142" s="48"/>
      <c r="H142" s="46"/>
      <c r="I142" s="49"/>
      <c r="J142" s="50"/>
      <c r="K142" s="51"/>
      <c r="L142" s="52">
        <f t="shared" si="50"/>
        <v>31</v>
      </c>
      <c r="M142" s="52">
        <f t="shared" si="50"/>
        <v>31</v>
      </c>
      <c r="N142" s="53"/>
      <c r="O142" s="54"/>
      <c r="P142" s="55">
        <f t="shared" si="51"/>
        <v>0</v>
      </c>
      <c r="Q142" s="71"/>
      <c r="R142" s="56" t="str">
        <f t="shared" si="53"/>
        <v/>
      </c>
      <c r="S142" s="57" t="str">
        <f t="shared" si="54"/>
        <v/>
      </c>
      <c r="T142" s="58"/>
    </row>
    <row r="143" spans="2:20" x14ac:dyDescent="0.35">
      <c r="B143" s="45" t="str">
        <f>IF(J143="","",RANK($J143,$J$9:$J$620,0)+COUNTIF($J$9:J143,$J143)-1)</f>
        <v/>
      </c>
      <c r="C143" s="46"/>
      <c r="D143" s="46"/>
      <c r="E143" s="46"/>
      <c r="F143" s="47" t="str">
        <f t="shared" si="52"/>
        <v>--</v>
      </c>
      <c r="G143" s="48"/>
      <c r="H143" s="46"/>
      <c r="I143" s="49"/>
      <c r="J143" s="50"/>
      <c r="K143" s="51"/>
      <c r="L143" s="52">
        <f t="shared" si="50"/>
        <v>31</v>
      </c>
      <c r="M143" s="52">
        <f t="shared" si="50"/>
        <v>31</v>
      </c>
      <c r="N143" s="53"/>
      <c r="O143" s="54"/>
      <c r="P143" s="55">
        <f t="shared" si="51"/>
        <v>0</v>
      </c>
      <c r="Q143" s="71"/>
      <c r="R143" s="56" t="str">
        <f t="shared" si="53"/>
        <v/>
      </c>
      <c r="S143" s="57" t="str">
        <f t="shared" si="54"/>
        <v/>
      </c>
      <c r="T143" s="58"/>
    </row>
    <row r="144" spans="2:20" x14ac:dyDescent="0.35">
      <c r="B144" s="45" t="str">
        <f>IF(J144="","",RANK($J144,$J$9:$J$620,0)+COUNTIF($J$9:J144,$J144)-1)</f>
        <v/>
      </c>
      <c r="C144" s="46"/>
      <c r="D144" s="46"/>
      <c r="E144" s="46"/>
      <c r="F144" s="47" t="str">
        <f t="shared" si="52"/>
        <v>--</v>
      </c>
      <c r="G144" s="48"/>
      <c r="H144" s="46"/>
      <c r="I144" s="49"/>
      <c r="J144" s="50"/>
      <c r="K144" s="51"/>
      <c r="L144" s="52">
        <f t="shared" si="50"/>
        <v>31</v>
      </c>
      <c r="M144" s="52">
        <f t="shared" si="50"/>
        <v>31</v>
      </c>
      <c r="N144" s="53"/>
      <c r="O144" s="54"/>
      <c r="P144" s="55">
        <f t="shared" si="51"/>
        <v>0</v>
      </c>
      <c r="Q144" s="71"/>
      <c r="R144" s="56" t="str">
        <f t="shared" si="53"/>
        <v/>
      </c>
      <c r="S144" s="57" t="str">
        <f t="shared" si="54"/>
        <v/>
      </c>
      <c r="T144" s="58"/>
    </row>
    <row r="145" spans="2:20" x14ac:dyDescent="0.35">
      <c r="B145" s="45" t="str">
        <f>IF(J145="","",RANK($J145,$J$9:$J$620,0)+COUNTIF($J$9:J145,$J145)-1)</f>
        <v/>
      </c>
      <c r="C145" s="46"/>
      <c r="D145" s="46"/>
      <c r="E145" s="46"/>
      <c r="F145" s="47" t="str">
        <f t="shared" si="52"/>
        <v>--</v>
      </c>
      <c r="G145" s="48"/>
      <c r="H145" s="46"/>
      <c r="I145" s="49"/>
      <c r="J145" s="50"/>
      <c r="K145" s="51"/>
      <c r="L145" s="52">
        <f t="shared" si="50"/>
        <v>31</v>
      </c>
      <c r="M145" s="52">
        <f t="shared" si="50"/>
        <v>31</v>
      </c>
      <c r="N145" s="53"/>
      <c r="O145" s="54"/>
      <c r="P145" s="55">
        <f t="shared" si="51"/>
        <v>0</v>
      </c>
      <c r="Q145" s="71"/>
      <c r="R145" s="56" t="str">
        <f t="shared" si="53"/>
        <v/>
      </c>
      <c r="S145" s="57" t="str">
        <f t="shared" si="54"/>
        <v/>
      </c>
      <c r="T145" s="58"/>
    </row>
    <row r="146" spans="2:20" x14ac:dyDescent="0.35">
      <c r="B146" s="45" t="str">
        <f>IF(J146="","",RANK($J146,$J$9:$J$620,0)+COUNTIF($J$9:J146,$J146)-1)</f>
        <v/>
      </c>
      <c r="C146" s="46"/>
      <c r="D146" s="46"/>
      <c r="E146" s="46"/>
      <c r="F146" s="47" t="str">
        <f t="shared" si="52"/>
        <v>--</v>
      </c>
      <c r="G146" s="48"/>
      <c r="H146" s="46"/>
      <c r="I146" s="49"/>
      <c r="J146" s="50"/>
      <c r="K146" s="51"/>
      <c r="L146" s="52">
        <f t="shared" ref="L146:M209" si="55">EOMONTH(J146,0)</f>
        <v>31</v>
      </c>
      <c r="M146" s="52">
        <f t="shared" si="55"/>
        <v>31</v>
      </c>
      <c r="N146" s="53"/>
      <c r="O146" s="54"/>
      <c r="P146" s="55">
        <f t="shared" si="51"/>
        <v>0</v>
      </c>
      <c r="Q146" s="71"/>
      <c r="R146" s="56" t="str">
        <f t="shared" si="53"/>
        <v/>
      </c>
      <c r="S146" s="57" t="str">
        <f t="shared" si="54"/>
        <v/>
      </c>
      <c r="T146" s="58"/>
    </row>
    <row r="147" spans="2:20" x14ac:dyDescent="0.35">
      <c r="B147" s="45" t="str">
        <f>IF(J147="","",RANK($J147,$J$9:$J$620,0)+COUNTIF($J$9:J147,$J147)-1)</f>
        <v/>
      </c>
      <c r="C147" s="46"/>
      <c r="D147" s="46"/>
      <c r="E147" s="46"/>
      <c r="F147" s="47" t="str">
        <f t="shared" si="52"/>
        <v>--</v>
      </c>
      <c r="G147" s="48"/>
      <c r="H147" s="46"/>
      <c r="I147" s="49"/>
      <c r="J147" s="50"/>
      <c r="K147" s="51"/>
      <c r="L147" s="52">
        <f t="shared" si="55"/>
        <v>31</v>
      </c>
      <c r="M147" s="52">
        <f t="shared" si="55"/>
        <v>31</v>
      </c>
      <c r="N147" s="53"/>
      <c r="O147" s="54"/>
      <c r="P147" s="55">
        <f t="shared" si="51"/>
        <v>0</v>
      </c>
      <c r="Q147" s="71"/>
      <c r="R147" s="56" t="str">
        <f t="shared" si="53"/>
        <v/>
      </c>
      <c r="S147" s="57" t="str">
        <f t="shared" si="54"/>
        <v/>
      </c>
      <c r="T147" s="58"/>
    </row>
    <row r="148" spans="2:20" x14ac:dyDescent="0.35">
      <c r="B148" s="45" t="str">
        <f>IF(J148="","",RANK($J148,$J$9:$J$620,0)+COUNTIF($J$9:J148,$J148)-1)</f>
        <v/>
      </c>
      <c r="C148" s="46"/>
      <c r="D148" s="46"/>
      <c r="E148" s="46"/>
      <c r="F148" s="47" t="str">
        <f t="shared" si="52"/>
        <v>--</v>
      </c>
      <c r="G148" s="48"/>
      <c r="H148" s="46"/>
      <c r="I148" s="49"/>
      <c r="J148" s="50"/>
      <c r="K148" s="51"/>
      <c r="L148" s="52">
        <f t="shared" si="55"/>
        <v>31</v>
      </c>
      <c r="M148" s="52">
        <f t="shared" si="55"/>
        <v>31</v>
      </c>
      <c r="N148" s="53"/>
      <c r="O148" s="54"/>
      <c r="P148" s="55">
        <f t="shared" si="51"/>
        <v>0</v>
      </c>
      <c r="Q148" s="71"/>
      <c r="R148" s="56" t="str">
        <f t="shared" si="53"/>
        <v/>
      </c>
      <c r="S148" s="57" t="str">
        <f t="shared" si="54"/>
        <v/>
      </c>
      <c r="T148" s="58"/>
    </row>
    <row r="149" spans="2:20" x14ac:dyDescent="0.35">
      <c r="B149" s="45" t="str">
        <f>IF(J149="","",RANK($J149,$J$9:$J$620,0)+COUNTIF($J$9:J149,$J149)-1)</f>
        <v/>
      </c>
      <c r="C149" s="46"/>
      <c r="D149" s="46"/>
      <c r="E149" s="46"/>
      <c r="F149" s="47" t="str">
        <f t="shared" si="52"/>
        <v>--</v>
      </c>
      <c r="G149" s="48"/>
      <c r="H149" s="46"/>
      <c r="I149" s="49"/>
      <c r="J149" s="50"/>
      <c r="K149" s="51"/>
      <c r="L149" s="52">
        <f t="shared" si="55"/>
        <v>31</v>
      </c>
      <c r="M149" s="52">
        <f t="shared" si="55"/>
        <v>31</v>
      </c>
      <c r="N149" s="53"/>
      <c r="O149" s="54"/>
      <c r="P149" s="55">
        <f t="shared" si="51"/>
        <v>0</v>
      </c>
      <c r="Q149" s="71"/>
      <c r="R149" s="56" t="str">
        <f t="shared" si="53"/>
        <v/>
      </c>
      <c r="S149" s="57" t="str">
        <f t="shared" si="54"/>
        <v/>
      </c>
      <c r="T149" s="58"/>
    </row>
    <row r="150" spans="2:20" x14ac:dyDescent="0.35">
      <c r="B150" s="45" t="str">
        <f>IF(J150="","",RANK($J150,$J$9:$J$620,0)+COUNTIF($J$9:J150,$J150)-1)</f>
        <v/>
      </c>
      <c r="C150" s="46"/>
      <c r="D150" s="46"/>
      <c r="E150" s="46"/>
      <c r="F150" s="47" t="str">
        <f t="shared" si="52"/>
        <v>--</v>
      </c>
      <c r="G150" s="48"/>
      <c r="H150" s="46"/>
      <c r="I150" s="49"/>
      <c r="J150" s="50"/>
      <c r="K150" s="51"/>
      <c r="L150" s="52">
        <f t="shared" si="55"/>
        <v>31</v>
      </c>
      <c r="M150" s="52">
        <f t="shared" si="55"/>
        <v>31</v>
      </c>
      <c r="N150" s="53"/>
      <c r="O150" s="54"/>
      <c r="P150" s="55">
        <f t="shared" si="51"/>
        <v>0</v>
      </c>
      <c r="Q150" s="71"/>
      <c r="R150" s="56" t="str">
        <f t="shared" si="53"/>
        <v/>
      </c>
      <c r="S150" s="57" t="str">
        <f t="shared" si="54"/>
        <v/>
      </c>
      <c r="T150" s="58"/>
    </row>
    <row r="151" spans="2:20" x14ac:dyDescent="0.35">
      <c r="B151" s="45" t="str">
        <f>IF(J151="","",RANK($J151,$J$9:$J$620,0)+COUNTIF($J$9:J151,$J151)-1)</f>
        <v/>
      </c>
      <c r="C151" s="46"/>
      <c r="D151" s="46"/>
      <c r="E151" s="46"/>
      <c r="F151" s="47" t="str">
        <f t="shared" si="52"/>
        <v>--</v>
      </c>
      <c r="G151" s="48"/>
      <c r="H151" s="46"/>
      <c r="I151" s="49"/>
      <c r="J151" s="50"/>
      <c r="K151" s="51"/>
      <c r="L151" s="52">
        <f t="shared" si="55"/>
        <v>31</v>
      </c>
      <c r="M151" s="52">
        <f t="shared" si="55"/>
        <v>31</v>
      </c>
      <c r="N151" s="53"/>
      <c r="O151" s="54"/>
      <c r="P151" s="55">
        <f t="shared" si="51"/>
        <v>0</v>
      </c>
      <c r="Q151" s="71"/>
      <c r="R151" s="56" t="str">
        <f t="shared" si="53"/>
        <v/>
      </c>
      <c r="S151" s="57" t="str">
        <f t="shared" si="54"/>
        <v/>
      </c>
      <c r="T151" s="58"/>
    </row>
    <row r="152" spans="2:20" x14ac:dyDescent="0.35">
      <c r="B152" s="45" t="str">
        <f>IF(J152="","",RANK($J152,$J$9:$J$620,0)+COUNTIF($J$9:J152,$J152)-1)</f>
        <v/>
      </c>
      <c r="C152" s="46"/>
      <c r="D152" s="46"/>
      <c r="E152" s="46"/>
      <c r="F152" s="47" t="str">
        <f t="shared" si="52"/>
        <v>--</v>
      </c>
      <c r="G152" s="48"/>
      <c r="H152" s="46"/>
      <c r="I152" s="49"/>
      <c r="J152" s="50"/>
      <c r="K152" s="51"/>
      <c r="L152" s="52">
        <f t="shared" si="55"/>
        <v>31</v>
      </c>
      <c r="M152" s="52">
        <f t="shared" si="55"/>
        <v>31</v>
      </c>
      <c r="N152" s="53"/>
      <c r="O152" s="54"/>
      <c r="P152" s="55">
        <f t="shared" si="51"/>
        <v>0</v>
      </c>
      <c r="Q152" s="71"/>
      <c r="R152" s="56" t="str">
        <f t="shared" si="53"/>
        <v/>
      </c>
      <c r="S152" s="57" t="str">
        <f t="shared" si="54"/>
        <v/>
      </c>
      <c r="T152" s="58"/>
    </row>
    <row r="153" spans="2:20" x14ac:dyDescent="0.35">
      <c r="B153" s="45" t="str">
        <f>IF(J153="","",RANK($J153,$J$9:$J$620,0)+COUNTIF($J$9:J153,$J153)-1)</f>
        <v/>
      </c>
      <c r="C153" s="46"/>
      <c r="D153" s="46"/>
      <c r="E153" s="46"/>
      <c r="F153" s="47" t="str">
        <f t="shared" si="52"/>
        <v>--</v>
      </c>
      <c r="G153" s="48"/>
      <c r="H153" s="169"/>
      <c r="I153" s="49"/>
      <c r="J153" s="50"/>
      <c r="K153" s="51"/>
      <c r="L153" s="52">
        <f t="shared" si="55"/>
        <v>31</v>
      </c>
      <c r="M153" s="52">
        <f t="shared" si="55"/>
        <v>31</v>
      </c>
      <c r="N153" s="53"/>
      <c r="O153" s="170"/>
      <c r="P153" s="55">
        <f t="shared" si="51"/>
        <v>0</v>
      </c>
      <c r="Q153" s="171"/>
      <c r="R153" s="56" t="str">
        <f t="shared" si="53"/>
        <v/>
      </c>
      <c r="S153" s="57" t="str">
        <f t="shared" si="54"/>
        <v/>
      </c>
      <c r="T153" s="58"/>
    </row>
    <row r="154" spans="2:20" x14ac:dyDescent="0.35">
      <c r="B154" s="45" t="str">
        <f>IF(J154="","",RANK($J154,$J$9:$J$620,0)+COUNTIF($J$9:J154,$J154)-1)</f>
        <v/>
      </c>
      <c r="C154" s="46"/>
      <c r="D154" s="46"/>
      <c r="E154" s="46"/>
      <c r="F154" s="47" t="str">
        <f t="shared" si="52"/>
        <v>--</v>
      </c>
      <c r="G154" s="48"/>
      <c r="H154" s="169"/>
      <c r="I154" s="49"/>
      <c r="J154" s="50"/>
      <c r="K154" s="51"/>
      <c r="L154" s="52">
        <f t="shared" si="55"/>
        <v>31</v>
      </c>
      <c r="M154" s="52">
        <f t="shared" si="55"/>
        <v>31</v>
      </c>
      <c r="N154" s="53"/>
      <c r="O154" s="170"/>
      <c r="P154" s="55">
        <f t="shared" si="51"/>
        <v>0</v>
      </c>
      <c r="Q154" s="171"/>
      <c r="R154" s="56" t="str">
        <f t="shared" si="53"/>
        <v/>
      </c>
      <c r="S154" s="57" t="str">
        <f t="shared" si="54"/>
        <v/>
      </c>
      <c r="T154" s="58"/>
    </row>
    <row r="155" spans="2:20" x14ac:dyDescent="0.35">
      <c r="B155" s="45" t="str">
        <f>IF(J155="","",RANK($J155,$J$9:$J$620,0)+COUNTIF($J$9:J155,$J155)-1)</f>
        <v/>
      </c>
      <c r="C155" s="46"/>
      <c r="D155" s="46"/>
      <c r="E155" s="46"/>
      <c r="F155" s="47" t="str">
        <f t="shared" si="52"/>
        <v>--</v>
      </c>
      <c r="G155" s="48"/>
      <c r="H155" s="169"/>
      <c r="I155" s="49"/>
      <c r="J155" s="50"/>
      <c r="K155" s="51"/>
      <c r="L155" s="52">
        <f t="shared" si="55"/>
        <v>31</v>
      </c>
      <c r="M155" s="52">
        <f t="shared" si="55"/>
        <v>31</v>
      </c>
      <c r="N155" s="53"/>
      <c r="O155" s="170"/>
      <c r="P155" s="55">
        <f t="shared" si="51"/>
        <v>0</v>
      </c>
      <c r="Q155" s="171"/>
      <c r="R155" s="56" t="str">
        <f t="shared" si="53"/>
        <v/>
      </c>
      <c r="S155" s="57" t="str">
        <f t="shared" si="54"/>
        <v/>
      </c>
      <c r="T155" s="58"/>
    </row>
    <row r="156" spans="2:20" x14ac:dyDescent="0.35">
      <c r="B156" s="45" t="str">
        <f>IF(J156="","",RANK($J156,$J$9:$J$620,0)+COUNTIF($J$9:J156,$J156)-1)</f>
        <v/>
      </c>
      <c r="C156" s="46"/>
      <c r="D156" s="46"/>
      <c r="E156" s="46"/>
      <c r="F156" s="47" t="str">
        <f t="shared" si="52"/>
        <v>--</v>
      </c>
      <c r="G156" s="48"/>
      <c r="H156" s="169"/>
      <c r="I156" s="49"/>
      <c r="J156" s="50"/>
      <c r="K156" s="51"/>
      <c r="L156" s="52">
        <f t="shared" si="55"/>
        <v>31</v>
      </c>
      <c r="M156" s="52">
        <f t="shared" si="55"/>
        <v>31</v>
      </c>
      <c r="N156" s="53"/>
      <c r="O156" s="170"/>
      <c r="P156" s="55">
        <f t="shared" si="51"/>
        <v>0</v>
      </c>
      <c r="Q156" s="171"/>
      <c r="R156" s="56" t="str">
        <f t="shared" si="53"/>
        <v/>
      </c>
      <c r="S156" s="57" t="str">
        <f t="shared" si="54"/>
        <v/>
      </c>
      <c r="T156" s="58"/>
    </row>
    <row r="157" spans="2:20" x14ac:dyDescent="0.35">
      <c r="B157" s="45" t="str">
        <f>IF(J157="","",RANK($J157,$J$9:$J$620,0)+COUNTIF($J$9:J157,$J157)-1)</f>
        <v/>
      </c>
      <c r="C157" s="46"/>
      <c r="D157" s="46"/>
      <c r="E157" s="46"/>
      <c r="F157" s="47" t="str">
        <f t="shared" si="52"/>
        <v>--</v>
      </c>
      <c r="G157" s="48"/>
      <c r="H157" s="169"/>
      <c r="I157" s="49"/>
      <c r="J157" s="50"/>
      <c r="K157" s="51"/>
      <c r="L157" s="52">
        <f t="shared" si="55"/>
        <v>31</v>
      </c>
      <c r="M157" s="52">
        <f t="shared" si="55"/>
        <v>31</v>
      </c>
      <c r="N157" s="53"/>
      <c r="O157" s="170"/>
      <c r="P157" s="55">
        <f t="shared" si="51"/>
        <v>0</v>
      </c>
      <c r="Q157" s="171"/>
      <c r="R157" s="56" t="str">
        <f t="shared" si="53"/>
        <v/>
      </c>
      <c r="S157" s="57" t="str">
        <f t="shared" si="54"/>
        <v/>
      </c>
      <c r="T157" s="58"/>
    </row>
    <row r="158" spans="2:20" x14ac:dyDescent="0.35">
      <c r="B158" s="45" t="str">
        <f>IF(J158="","",RANK($J158,$J$9:$J$620,0)+COUNTIF($J$9:J158,$J158)-1)</f>
        <v/>
      </c>
      <c r="C158" s="46"/>
      <c r="D158" s="46"/>
      <c r="E158" s="46"/>
      <c r="F158" s="47" t="str">
        <f t="shared" si="52"/>
        <v>--</v>
      </c>
      <c r="G158" s="48"/>
      <c r="H158" s="169"/>
      <c r="I158" s="49"/>
      <c r="J158" s="50"/>
      <c r="K158" s="51"/>
      <c r="L158" s="52">
        <f t="shared" si="55"/>
        <v>31</v>
      </c>
      <c r="M158" s="52">
        <f t="shared" si="55"/>
        <v>31</v>
      </c>
      <c r="N158" s="53"/>
      <c r="O158" s="170"/>
      <c r="P158" s="55">
        <f t="shared" si="51"/>
        <v>0</v>
      </c>
      <c r="Q158" s="171"/>
      <c r="R158" s="56" t="str">
        <f t="shared" si="53"/>
        <v/>
      </c>
      <c r="S158" s="57" t="str">
        <f t="shared" si="54"/>
        <v/>
      </c>
      <c r="T158" s="58"/>
    </row>
    <row r="159" spans="2:20" x14ac:dyDescent="0.35">
      <c r="B159" s="45" t="str">
        <f>IF(J159="","",RANK($J159,$J$9:$J$620,0)+COUNTIF($J$9:J159,$J159)-1)</f>
        <v/>
      </c>
      <c r="C159" s="46"/>
      <c r="D159" s="46"/>
      <c r="E159" s="46"/>
      <c r="F159" s="47" t="str">
        <f t="shared" si="52"/>
        <v>--</v>
      </c>
      <c r="G159" s="48"/>
      <c r="H159" s="169"/>
      <c r="I159" s="49"/>
      <c r="J159" s="50"/>
      <c r="K159" s="51"/>
      <c r="L159" s="52">
        <f t="shared" si="55"/>
        <v>31</v>
      </c>
      <c r="M159" s="52">
        <f t="shared" si="55"/>
        <v>31</v>
      </c>
      <c r="N159" s="53"/>
      <c r="O159" s="170"/>
      <c r="P159" s="55">
        <f t="shared" si="51"/>
        <v>0</v>
      </c>
      <c r="Q159" s="171"/>
      <c r="R159" s="56" t="str">
        <f t="shared" si="53"/>
        <v/>
      </c>
      <c r="S159" s="57" t="str">
        <f t="shared" si="54"/>
        <v/>
      </c>
      <c r="T159" s="58"/>
    </row>
    <row r="160" spans="2:20" x14ac:dyDescent="0.35">
      <c r="B160" s="45" t="str">
        <f>IF(J160="","",RANK($J160,$J$9:$J$620,0)+COUNTIF($J$9:J160,$J160)-1)</f>
        <v/>
      </c>
      <c r="C160" s="46"/>
      <c r="D160" s="46"/>
      <c r="E160" s="46"/>
      <c r="F160" s="47" t="str">
        <f t="shared" si="52"/>
        <v>--</v>
      </c>
      <c r="G160" s="48"/>
      <c r="H160" s="169"/>
      <c r="I160" s="49"/>
      <c r="J160" s="50"/>
      <c r="K160" s="51"/>
      <c r="L160" s="52">
        <f t="shared" si="55"/>
        <v>31</v>
      </c>
      <c r="M160" s="52">
        <f t="shared" si="55"/>
        <v>31</v>
      </c>
      <c r="N160" s="53"/>
      <c r="O160" s="170"/>
      <c r="P160" s="55">
        <f t="shared" si="51"/>
        <v>0</v>
      </c>
      <c r="Q160" s="171"/>
      <c r="R160" s="56" t="str">
        <f t="shared" si="53"/>
        <v/>
      </c>
      <c r="S160" s="57" t="str">
        <f t="shared" si="54"/>
        <v/>
      </c>
      <c r="T160" s="58"/>
    </row>
    <row r="161" spans="2:20" x14ac:dyDescent="0.35">
      <c r="B161" s="45" t="str">
        <f>IF(J161="","",RANK($J161,$J$9:$J$620,0)+COUNTIF($J$9:J161,$J161)-1)</f>
        <v/>
      </c>
      <c r="C161" s="46"/>
      <c r="D161" s="46"/>
      <c r="E161" s="46"/>
      <c r="F161" s="47" t="str">
        <f t="shared" si="52"/>
        <v>--</v>
      </c>
      <c r="G161" s="48"/>
      <c r="H161" s="169"/>
      <c r="I161" s="49"/>
      <c r="J161" s="50"/>
      <c r="K161" s="51"/>
      <c r="L161" s="52">
        <f t="shared" si="55"/>
        <v>31</v>
      </c>
      <c r="M161" s="52">
        <f t="shared" si="55"/>
        <v>31</v>
      </c>
      <c r="N161" s="53"/>
      <c r="O161" s="170"/>
      <c r="P161" s="55">
        <f t="shared" si="51"/>
        <v>0</v>
      </c>
      <c r="Q161" s="171"/>
      <c r="R161" s="56" t="str">
        <f t="shared" si="53"/>
        <v/>
      </c>
      <c r="S161" s="57" t="str">
        <f t="shared" si="54"/>
        <v/>
      </c>
      <c r="T161" s="58"/>
    </row>
    <row r="162" spans="2:20" x14ac:dyDescent="0.35">
      <c r="B162" s="45" t="str">
        <f>IF(J162="","",RANK($J162,$J$9:$J$620,0)+COUNTIF($J$9:J162,$J162)-1)</f>
        <v/>
      </c>
      <c r="C162" s="46"/>
      <c r="D162" s="46"/>
      <c r="E162" s="46"/>
      <c r="F162" s="47" t="str">
        <f t="shared" si="52"/>
        <v>--</v>
      </c>
      <c r="G162" s="48"/>
      <c r="H162" s="169"/>
      <c r="I162" s="49"/>
      <c r="J162" s="50"/>
      <c r="K162" s="51"/>
      <c r="L162" s="52">
        <f t="shared" si="55"/>
        <v>31</v>
      </c>
      <c r="M162" s="52">
        <f t="shared" si="55"/>
        <v>31</v>
      </c>
      <c r="N162" s="53"/>
      <c r="O162" s="170"/>
      <c r="P162" s="55">
        <f t="shared" si="51"/>
        <v>0</v>
      </c>
      <c r="Q162" s="171"/>
      <c r="R162" s="56" t="str">
        <f t="shared" si="53"/>
        <v/>
      </c>
      <c r="S162" s="57" t="str">
        <f t="shared" si="54"/>
        <v/>
      </c>
      <c r="T162" s="58"/>
    </row>
    <row r="163" spans="2:20" x14ac:dyDescent="0.35">
      <c r="B163" s="45" t="str">
        <f>IF(J163="","",RANK($J163,$J$9:$J$620,0)+COUNTIF($J$9:J163,$J163)-1)</f>
        <v/>
      </c>
      <c r="C163" s="46"/>
      <c r="D163" s="46"/>
      <c r="E163" s="46"/>
      <c r="F163" s="47" t="str">
        <f t="shared" si="52"/>
        <v>--</v>
      </c>
      <c r="G163" s="48"/>
      <c r="H163" s="169"/>
      <c r="I163" s="49"/>
      <c r="J163" s="50"/>
      <c r="K163" s="51"/>
      <c r="L163" s="52">
        <f t="shared" si="55"/>
        <v>31</v>
      </c>
      <c r="M163" s="52">
        <f t="shared" si="55"/>
        <v>31</v>
      </c>
      <c r="N163" s="53"/>
      <c r="O163" s="170"/>
      <c r="P163" s="55">
        <f t="shared" si="51"/>
        <v>0</v>
      </c>
      <c r="Q163" s="171"/>
      <c r="R163" s="56" t="str">
        <f t="shared" si="53"/>
        <v/>
      </c>
      <c r="S163" s="57" t="str">
        <f t="shared" si="54"/>
        <v/>
      </c>
      <c r="T163" s="58"/>
    </row>
    <row r="164" spans="2:20" x14ac:dyDescent="0.35">
      <c r="B164" s="45" t="str">
        <f>IF(J164="","",RANK($J164,$J$9:$J$620,0)+COUNTIF($J$9:J164,$J164)-1)</f>
        <v/>
      </c>
      <c r="C164" s="46"/>
      <c r="D164" s="46"/>
      <c r="E164" s="46"/>
      <c r="F164" s="47" t="str">
        <f t="shared" si="52"/>
        <v>--</v>
      </c>
      <c r="G164" s="48"/>
      <c r="H164" s="169"/>
      <c r="I164" s="49"/>
      <c r="J164" s="50"/>
      <c r="K164" s="51"/>
      <c r="L164" s="52">
        <f t="shared" si="55"/>
        <v>31</v>
      </c>
      <c r="M164" s="52">
        <f t="shared" si="55"/>
        <v>31</v>
      </c>
      <c r="N164" s="53"/>
      <c r="O164" s="170"/>
      <c r="P164" s="55">
        <f t="shared" si="51"/>
        <v>0</v>
      </c>
      <c r="Q164" s="171"/>
      <c r="R164" s="56" t="str">
        <f t="shared" si="53"/>
        <v/>
      </c>
      <c r="S164" s="57" t="str">
        <f t="shared" si="54"/>
        <v/>
      </c>
      <c r="T164" s="58"/>
    </row>
    <row r="165" spans="2:20" x14ac:dyDescent="0.35">
      <c r="B165" s="45" t="str">
        <f>IF(J165="","",RANK($J165,$J$9:$J$620,0)+COUNTIF($J$9:J165,$J165)-1)</f>
        <v/>
      </c>
      <c r="C165" s="46"/>
      <c r="D165" s="46"/>
      <c r="E165" s="46"/>
      <c r="F165" s="47" t="str">
        <f t="shared" si="52"/>
        <v>--</v>
      </c>
      <c r="G165" s="48"/>
      <c r="H165" s="169"/>
      <c r="I165" s="49"/>
      <c r="J165" s="50"/>
      <c r="K165" s="51"/>
      <c r="L165" s="52">
        <f t="shared" si="55"/>
        <v>31</v>
      </c>
      <c r="M165" s="52">
        <f t="shared" si="55"/>
        <v>31</v>
      </c>
      <c r="N165" s="53"/>
      <c r="O165" s="170"/>
      <c r="P165" s="55">
        <f t="shared" si="51"/>
        <v>0</v>
      </c>
      <c r="Q165" s="171"/>
      <c r="R165" s="56" t="str">
        <f t="shared" si="53"/>
        <v/>
      </c>
      <c r="S165" s="57" t="str">
        <f t="shared" si="54"/>
        <v/>
      </c>
      <c r="T165" s="58"/>
    </row>
    <row r="166" spans="2:20" x14ac:dyDescent="0.35">
      <c r="B166" s="45" t="str">
        <f>IF(J166="","",RANK($J166,$J$9:$J$620,0)+COUNTIF($J$9:J166,$J166)-1)</f>
        <v/>
      </c>
      <c r="C166" s="46"/>
      <c r="D166" s="46"/>
      <c r="E166" s="46"/>
      <c r="F166" s="47" t="str">
        <f t="shared" si="52"/>
        <v>--</v>
      </c>
      <c r="G166" s="48"/>
      <c r="H166" s="169"/>
      <c r="I166" s="49"/>
      <c r="J166" s="50"/>
      <c r="K166" s="51"/>
      <c r="L166" s="52">
        <f t="shared" si="55"/>
        <v>31</v>
      </c>
      <c r="M166" s="52">
        <f t="shared" si="55"/>
        <v>31</v>
      </c>
      <c r="N166" s="53"/>
      <c r="O166" s="170"/>
      <c r="P166" s="55">
        <f t="shared" si="51"/>
        <v>0</v>
      </c>
      <c r="Q166" s="171"/>
      <c r="R166" s="56" t="str">
        <f t="shared" si="53"/>
        <v/>
      </c>
      <c r="S166" s="57" t="str">
        <f t="shared" si="54"/>
        <v/>
      </c>
      <c r="T166" s="58"/>
    </row>
    <row r="167" spans="2:20" x14ac:dyDescent="0.35">
      <c r="B167" s="45" t="str">
        <f>IF(J167="","",RANK($J167,$J$9:$J$620,0)+COUNTIF($J$9:J167,$J167)-1)</f>
        <v/>
      </c>
      <c r="C167" s="46"/>
      <c r="D167" s="46"/>
      <c r="E167" s="46"/>
      <c r="F167" s="47" t="str">
        <f t="shared" si="52"/>
        <v>--</v>
      </c>
      <c r="G167" s="48"/>
      <c r="H167" s="169"/>
      <c r="I167" s="49"/>
      <c r="J167" s="50"/>
      <c r="K167" s="51"/>
      <c r="L167" s="52">
        <f t="shared" si="55"/>
        <v>31</v>
      </c>
      <c r="M167" s="52">
        <f t="shared" si="55"/>
        <v>31</v>
      </c>
      <c r="N167" s="53"/>
      <c r="O167" s="170"/>
      <c r="P167" s="55">
        <f t="shared" si="51"/>
        <v>0</v>
      </c>
      <c r="Q167" s="171"/>
      <c r="R167" s="56" t="str">
        <f t="shared" si="53"/>
        <v/>
      </c>
      <c r="S167" s="57" t="str">
        <f t="shared" si="54"/>
        <v/>
      </c>
      <c r="T167" s="58"/>
    </row>
    <row r="168" spans="2:20" x14ac:dyDescent="0.35">
      <c r="B168" s="45" t="str">
        <f>IF(J168="","",RANK($J168,$J$9:$J$620,0)+COUNTIF($J$9:J168,$J168)-1)</f>
        <v/>
      </c>
      <c r="C168" s="46"/>
      <c r="D168" s="46"/>
      <c r="E168" s="46"/>
      <c r="F168" s="47" t="str">
        <f t="shared" si="52"/>
        <v>--</v>
      </c>
      <c r="G168" s="48"/>
      <c r="H168" s="169"/>
      <c r="I168" s="49"/>
      <c r="J168" s="50"/>
      <c r="K168" s="51"/>
      <c r="L168" s="52">
        <f t="shared" si="55"/>
        <v>31</v>
      </c>
      <c r="M168" s="52">
        <f t="shared" si="55"/>
        <v>31</v>
      </c>
      <c r="N168" s="53"/>
      <c r="O168" s="170"/>
      <c r="P168" s="55">
        <f t="shared" si="51"/>
        <v>0</v>
      </c>
      <c r="Q168" s="171"/>
      <c r="R168" s="56" t="str">
        <f t="shared" si="53"/>
        <v/>
      </c>
      <c r="S168" s="57" t="str">
        <f t="shared" si="54"/>
        <v/>
      </c>
      <c r="T168" s="58"/>
    </row>
    <row r="169" spans="2:20" x14ac:dyDescent="0.35">
      <c r="B169" s="45" t="str">
        <f>IF(J169="","",RANK($J169,$J$9:$J$620,0)+COUNTIF($J$9:J169,$J169)-1)</f>
        <v/>
      </c>
      <c r="C169" s="46"/>
      <c r="D169" s="46"/>
      <c r="E169" s="46"/>
      <c r="F169" s="47" t="str">
        <f t="shared" si="52"/>
        <v>--</v>
      </c>
      <c r="G169" s="48"/>
      <c r="H169" s="169"/>
      <c r="I169" s="49"/>
      <c r="J169" s="50"/>
      <c r="K169" s="51"/>
      <c r="L169" s="52">
        <f t="shared" si="55"/>
        <v>31</v>
      </c>
      <c r="M169" s="52">
        <f t="shared" si="55"/>
        <v>31</v>
      </c>
      <c r="N169" s="53"/>
      <c r="O169" s="170"/>
      <c r="P169" s="55">
        <f t="shared" si="51"/>
        <v>0</v>
      </c>
      <c r="Q169" s="171"/>
      <c r="R169" s="56" t="str">
        <f t="shared" si="53"/>
        <v/>
      </c>
      <c r="S169" s="57" t="str">
        <f t="shared" si="54"/>
        <v/>
      </c>
      <c r="T169" s="58"/>
    </row>
    <row r="170" spans="2:20" x14ac:dyDescent="0.35">
      <c r="B170" s="45" t="str">
        <f>IF(J170="","",RANK($J170,$J$9:$J$620,0)+COUNTIF($J$9:J170,$J170)-1)</f>
        <v/>
      </c>
      <c r="C170" s="46"/>
      <c r="D170" s="46"/>
      <c r="E170" s="46"/>
      <c r="F170" s="47" t="str">
        <f t="shared" si="52"/>
        <v>--</v>
      </c>
      <c r="G170" s="48"/>
      <c r="H170" s="169"/>
      <c r="I170" s="49"/>
      <c r="J170" s="50"/>
      <c r="K170" s="51"/>
      <c r="L170" s="52">
        <f t="shared" si="55"/>
        <v>31</v>
      </c>
      <c r="M170" s="52">
        <f t="shared" si="55"/>
        <v>31</v>
      </c>
      <c r="N170" s="53"/>
      <c r="O170" s="170"/>
      <c r="P170" s="55">
        <f t="shared" si="51"/>
        <v>0</v>
      </c>
      <c r="Q170" s="171"/>
      <c r="R170" s="56" t="str">
        <f t="shared" si="53"/>
        <v/>
      </c>
      <c r="S170" s="57" t="str">
        <f t="shared" si="54"/>
        <v/>
      </c>
      <c r="T170" s="58"/>
    </row>
    <row r="171" spans="2:20" x14ac:dyDescent="0.35">
      <c r="B171" s="45" t="str">
        <f>IF(J171="","",RANK($J171,$J$9:$J$620,0)+COUNTIF($J$9:J171,$J171)-1)</f>
        <v/>
      </c>
      <c r="C171" s="46"/>
      <c r="D171" s="46"/>
      <c r="E171" s="46"/>
      <c r="F171" s="47" t="str">
        <f t="shared" si="52"/>
        <v>--</v>
      </c>
      <c r="G171" s="48"/>
      <c r="H171" s="169"/>
      <c r="I171" s="49"/>
      <c r="J171" s="50"/>
      <c r="K171" s="51"/>
      <c r="L171" s="52">
        <f t="shared" si="55"/>
        <v>31</v>
      </c>
      <c r="M171" s="52">
        <f t="shared" si="55"/>
        <v>31</v>
      </c>
      <c r="N171" s="53"/>
      <c r="O171" s="170"/>
      <c r="P171" s="55">
        <f t="shared" si="51"/>
        <v>0</v>
      </c>
      <c r="Q171" s="171"/>
      <c r="R171" s="56" t="str">
        <f t="shared" si="53"/>
        <v/>
      </c>
      <c r="S171" s="57" t="str">
        <f t="shared" si="54"/>
        <v/>
      </c>
      <c r="T171" s="58"/>
    </row>
    <row r="172" spans="2:20" x14ac:dyDescent="0.35">
      <c r="B172" s="45" t="str">
        <f>IF(J172="","",RANK($J172,$J$9:$J$620,0)+COUNTIF($J$9:J172,$J172)-1)</f>
        <v/>
      </c>
      <c r="C172" s="46"/>
      <c r="D172" s="46"/>
      <c r="E172" s="46"/>
      <c r="F172" s="47" t="str">
        <f t="shared" si="52"/>
        <v>--</v>
      </c>
      <c r="G172" s="48"/>
      <c r="H172" s="169"/>
      <c r="I172" s="49"/>
      <c r="J172" s="50"/>
      <c r="K172" s="51"/>
      <c r="L172" s="52">
        <f t="shared" si="55"/>
        <v>31</v>
      </c>
      <c r="M172" s="52">
        <f t="shared" si="55"/>
        <v>31</v>
      </c>
      <c r="N172" s="53"/>
      <c r="O172" s="170"/>
      <c r="P172" s="55">
        <f t="shared" si="51"/>
        <v>0</v>
      </c>
      <c r="Q172" s="171"/>
      <c r="R172" s="56" t="str">
        <f t="shared" si="53"/>
        <v/>
      </c>
      <c r="S172" s="57" t="str">
        <f t="shared" si="54"/>
        <v/>
      </c>
      <c r="T172" s="58"/>
    </row>
    <row r="173" spans="2:20" x14ac:dyDescent="0.35">
      <c r="B173" s="45" t="str">
        <f>IF(J173="","",RANK($J173,$J$9:$J$620,0)+COUNTIF($J$9:J173,$J173)-1)</f>
        <v/>
      </c>
      <c r="C173" s="46"/>
      <c r="D173" s="46"/>
      <c r="E173" s="46"/>
      <c r="F173" s="47" t="str">
        <f t="shared" si="52"/>
        <v>--</v>
      </c>
      <c r="G173" s="48"/>
      <c r="H173" s="169"/>
      <c r="I173" s="49"/>
      <c r="J173" s="50"/>
      <c r="K173" s="51"/>
      <c r="L173" s="52">
        <f t="shared" si="55"/>
        <v>31</v>
      </c>
      <c r="M173" s="52">
        <f t="shared" si="55"/>
        <v>31</v>
      </c>
      <c r="N173" s="53"/>
      <c r="O173" s="170"/>
      <c r="P173" s="55">
        <f t="shared" si="51"/>
        <v>0</v>
      </c>
      <c r="Q173" s="171"/>
      <c r="R173" s="56" t="str">
        <f t="shared" si="53"/>
        <v/>
      </c>
      <c r="S173" s="57" t="str">
        <f t="shared" si="54"/>
        <v/>
      </c>
      <c r="T173" s="58"/>
    </row>
    <row r="174" spans="2:20" x14ac:dyDescent="0.35">
      <c r="B174" s="45" t="str">
        <f>IF(J174="","",RANK($J174,$J$9:$J$620,0)+COUNTIF($J$9:J174,$J174)-1)</f>
        <v/>
      </c>
      <c r="C174" s="46"/>
      <c r="D174" s="46"/>
      <c r="E174" s="46"/>
      <c r="F174" s="47" t="str">
        <f t="shared" si="52"/>
        <v>--</v>
      </c>
      <c r="G174" s="48"/>
      <c r="H174" s="169"/>
      <c r="I174" s="49"/>
      <c r="J174" s="50"/>
      <c r="K174" s="51"/>
      <c r="L174" s="52">
        <f t="shared" si="55"/>
        <v>31</v>
      </c>
      <c r="M174" s="52">
        <f t="shared" si="55"/>
        <v>31</v>
      </c>
      <c r="N174" s="53"/>
      <c r="O174" s="170"/>
      <c r="P174" s="55">
        <f t="shared" si="51"/>
        <v>0</v>
      </c>
      <c r="Q174" s="171"/>
      <c r="R174" s="56" t="str">
        <f t="shared" si="53"/>
        <v/>
      </c>
      <c r="S174" s="57" t="str">
        <f t="shared" si="54"/>
        <v/>
      </c>
      <c r="T174" s="58"/>
    </row>
    <row r="175" spans="2:20" x14ac:dyDescent="0.35">
      <c r="B175" s="45" t="str">
        <f>IF(J175="","",RANK($J175,$J$9:$J$620,0)+COUNTIF($J$9:J175,$J175)-1)</f>
        <v/>
      </c>
      <c r="C175" s="46"/>
      <c r="D175" s="46"/>
      <c r="E175" s="46"/>
      <c r="F175" s="47" t="str">
        <f t="shared" si="52"/>
        <v>--</v>
      </c>
      <c r="G175" s="48"/>
      <c r="H175" s="169"/>
      <c r="I175" s="49"/>
      <c r="J175" s="50"/>
      <c r="K175" s="51"/>
      <c r="L175" s="52">
        <f t="shared" si="55"/>
        <v>31</v>
      </c>
      <c r="M175" s="52">
        <f t="shared" si="55"/>
        <v>31</v>
      </c>
      <c r="N175" s="53"/>
      <c r="O175" s="170"/>
      <c r="P175" s="55">
        <f t="shared" si="51"/>
        <v>0</v>
      </c>
      <c r="Q175" s="171"/>
      <c r="R175" s="56" t="str">
        <f t="shared" si="53"/>
        <v/>
      </c>
      <c r="S175" s="57" t="str">
        <f t="shared" si="54"/>
        <v/>
      </c>
      <c r="T175" s="58"/>
    </row>
    <row r="176" spans="2:20" x14ac:dyDescent="0.35">
      <c r="B176" s="45" t="str">
        <f>IF(J176="","",RANK($J176,$J$9:$J$620,0)+COUNTIF($J$9:J176,$J176)-1)</f>
        <v/>
      </c>
      <c r="C176" s="46"/>
      <c r="D176" s="46"/>
      <c r="E176" s="46"/>
      <c r="F176" s="47" t="str">
        <f t="shared" si="52"/>
        <v>--</v>
      </c>
      <c r="G176" s="48"/>
      <c r="H176" s="169"/>
      <c r="I176" s="49"/>
      <c r="J176" s="50"/>
      <c r="K176" s="51"/>
      <c r="L176" s="52">
        <f t="shared" si="55"/>
        <v>31</v>
      </c>
      <c r="M176" s="52">
        <f t="shared" si="55"/>
        <v>31</v>
      </c>
      <c r="N176" s="53"/>
      <c r="O176" s="170"/>
      <c r="P176" s="55">
        <f t="shared" si="51"/>
        <v>0</v>
      </c>
      <c r="Q176" s="171"/>
      <c r="R176" s="56" t="str">
        <f t="shared" si="53"/>
        <v/>
      </c>
      <c r="S176" s="57" t="str">
        <f t="shared" si="54"/>
        <v/>
      </c>
      <c r="T176" s="58"/>
    </row>
    <row r="177" spans="2:20" x14ac:dyDescent="0.35">
      <c r="B177" s="45" t="str">
        <f>IF(J177="","",RANK($J177,$J$9:$J$620,0)+COUNTIF($J$9:J177,$J177)-1)</f>
        <v/>
      </c>
      <c r="C177" s="46"/>
      <c r="D177" s="46"/>
      <c r="E177" s="46"/>
      <c r="F177" s="47" t="str">
        <f t="shared" si="52"/>
        <v>--</v>
      </c>
      <c r="G177" s="48"/>
      <c r="H177" s="169"/>
      <c r="I177" s="49"/>
      <c r="J177" s="50"/>
      <c r="K177" s="51"/>
      <c r="L177" s="52">
        <f t="shared" si="55"/>
        <v>31</v>
      </c>
      <c r="M177" s="52">
        <f t="shared" si="55"/>
        <v>31</v>
      </c>
      <c r="N177" s="53"/>
      <c r="O177" s="170"/>
      <c r="P177" s="55">
        <f t="shared" si="51"/>
        <v>0</v>
      </c>
      <c r="Q177" s="171"/>
      <c r="R177" s="56" t="str">
        <f t="shared" si="53"/>
        <v/>
      </c>
      <c r="S177" s="57" t="str">
        <f t="shared" si="54"/>
        <v/>
      </c>
      <c r="T177" s="58"/>
    </row>
    <row r="178" spans="2:20" x14ac:dyDescent="0.35">
      <c r="B178" s="45" t="str">
        <f>IF(J178="","",RANK($J178,$J$9:$J$620,0)+COUNTIF($J$9:J178,$J178)-1)</f>
        <v/>
      </c>
      <c r="C178" s="46"/>
      <c r="D178" s="46"/>
      <c r="E178" s="46"/>
      <c r="F178" s="47" t="str">
        <f t="shared" si="52"/>
        <v>--</v>
      </c>
      <c r="G178" s="48"/>
      <c r="H178" s="169"/>
      <c r="I178" s="49"/>
      <c r="J178" s="50"/>
      <c r="K178" s="51"/>
      <c r="L178" s="52">
        <f t="shared" si="55"/>
        <v>31</v>
      </c>
      <c r="M178" s="52">
        <f t="shared" si="55"/>
        <v>31</v>
      </c>
      <c r="N178" s="53"/>
      <c r="O178" s="170"/>
      <c r="P178" s="55">
        <f t="shared" si="51"/>
        <v>0</v>
      </c>
      <c r="Q178" s="171"/>
      <c r="R178" s="56" t="str">
        <f t="shared" si="53"/>
        <v/>
      </c>
      <c r="S178" s="57" t="str">
        <f t="shared" si="54"/>
        <v/>
      </c>
      <c r="T178" s="58"/>
    </row>
    <row r="179" spans="2:20" x14ac:dyDescent="0.35">
      <c r="B179" s="45" t="str">
        <f>IF(J179="","",RANK($J179,$J$9:$J$620,0)+COUNTIF($J$9:J179,$J179)-1)</f>
        <v/>
      </c>
      <c r="C179" s="46"/>
      <c r="D179" s="46"/>
      <c r="E179" s="46"/>
      <c r="F179" s="47" t="str">
        <f t="shared" si="52"/>
        <v>--</v>
      </c>
      <c r="G179" s="48"/>
      <c r="H179" s="169"/>
      <c r="I179" s="49"/>
      <c r="J179" s="50"/>
      <c r="K179" s="51"/>
      <c r="L179" s="52">
        <f t="shared" si="55"/>
        <v>31</v>
      </c>
      <c r="M179" s="52">
        <f t="shared" si="55"/>
        <v>31</v>
      </c>
      <c r="N179" s="53"/>
      <c r="O179" s="170"/>
      <c r="P179" s="55">
        <f t="shared" si="51"/>
        <v>0</v>
      </c>
      <c r="Q179" s="171"/>
      <c r="R179" s="56" t="str">
        <f t="shared" si="53"/>
        <v/>
      </c>
      <c r="S179" s="57" t="str">
        <f t="shared" si="54"/>
        <v/>
      </c>
      <c r="T179" s="58"/>
    </row>
    <row r="180" spans="2:20" x14ac:dyDescent="0.35">
      <c r="B180" s="45" t="str">
        <f>IF(J180="","",RANK($J180,$J$9:$J$620,0)+COUNTIF($J$9:J180,$J180)-1)</f>
        <v/>
      </c>
      <c r="C180" s="46"/>
      <c r="D180" s="46"/>
      <c r="E180" s="46"/>
      <c r="F180" s="47" t="str">
        <f t="shared" si="52"/>
        <v>--</v>
      </c>
      <c r="G180" s="48"/>
      <c r="H180" s="169"/>
      <c r="I180" s="49"/>
      <c r="J180" s="50"/>
      <c r="K180" s="51"/>
      <c r="L180" s="52">
        <f t="shared" si="55"/>
        <v>31</v>
      </c>
      <c r="M180" s="52">
        <f t="shared" si="55"/>
        <v>31</v>
      </c>
      <c r="N180" s="53"/>
      <c r="O180" s="170"/>
      <c r="P180" s="55">
        <f t="shared" si="51"/>
        <v>0</v>
      </c>
      <c r="Q180" s="171"/>
      <c r="R180" s="56" t="str">
        <f t="shared" si="53"/>
        <v/>
      </c>
      <c r="S180" s="57" t="str">
        <f t="shared" si="54"/>
        <v/>
      </c>
      <c r="T180" s="58"/>
    </row>
    <row r="181" spans="2:20" x14ac:dyDescent="0.35">
      <c r="B181" s="45" t="str">
        <f>IF(J181="","",RANK($J181,$J$9:$J$620,0)+COUNTIF($J$9:J181,$J181)-1)</f>
        <v/>
      </c>
      <c r="C181" s="46"/>
      <c r="D181" s="46"/>
      <c r="E181" s="46"/>
      <c r="F181" s="47" t="str">
        <f t="shared" si="52"/>
        <v>--</v>
      </c>
      <c r="G181" s="48"/>
      <c r="H181" s="169"/>
      <c r="I181" s="49"/>
      <c r="J181" s="50"/>
      <c r="K181" s="51"/>
      <c r="L181" s="52">
        <f t="shared" si="55"/>
        <v>31</v>
      </c>
      <c r="M181" s="52">
        <f t="shared" si="55"/>
        <v>31</v>
      </c>
      <c r="N181" s="53"/>
      <c r="O181" s="170"/>
      <c r="P181" s="55">
        <f t="shared" si="51"/>
        <v>0</v>
      </c>
      <c r="Q181" s="171"/>
      <c r="R181" s="56" t="str">
        <f t="shared" si="53"/>
        <v/>
      </c>
      <c r="S181" s="57" t="str">
        <f t="shared" si="54"/>
        <v/>
      </c>
      <c r="T181" s="58"/>
    </row>
    <row r="182" spans="2:20" x14ac:dyDescent="0.35">
      <c r="B182" s="45" t="str">
        <f>IF(J182="","",RANK($J182,$J$9:$J$620,0)+COUNTIF($J$9:J182,$J182)-1)</f>
        <v/>
      </c>
      <c r="C182" s="46"/>
      <c r="D182" s="46"/>
      <c r="E182" s="46"/>
      <c r="F182" s="47" t="str">
        <f t="shared" si="52"/>
        <v>--</v>
      </c>
      <c r="G182" s="48"/>
      <c r="H182" s="169"/>
      <c r="I182" s="49"/>
      <c r="J182" s="50"/>
      <c r="K182" s="51"/>
      <c r="L182" s="52">
        <f t="shared" si="55"/>
        <v>31</v>
      </c>
      <c r="M182" s="52">
        <f t="shared" si="55"/>
        <v>31</v>
      </c>
      <c r="N182" s="53"/>
      <c r="O182" s="170"/>
      <c r="P182" s="55">
        <f t="shared" si="51"/>
        <v>0</v>
      </c>
      <c r="Q182" s="171"/>
      <c r="R182" s="56" t="str">
        <f t="shared" si="53"/>
        <v/>
      </c>
      <c r="S182" s="57" t="str">
        <f t="shared" si="54"/>
        <v/>
      </c>
      <c r="T182" s="58"/>
    </row>
    <row r="183" spans="2:20" x14ac:dyDescent="0.35">
      <c r="B183" s="45" t="str">
        <f>IF(J183="","",RANK($J183,$J$9:$J$620,0)+COUNTIF($J$9:J183,$J183)-1)</f>
        <v/>
      </c>
      <c r="C183" s="46"/>
      <c r="D183" s="46"/>
      <c r="E183" s="46"/>
      <c r="F183" s="47" t="str">
        <f t="shared" si="52"/>
        <v>--</v>
      </c>
      <c r="G183" s="48"/>
      <c r="H183" s="169"/>
      <c r="I183" s="49"/>
      <c r="J183" s="50"/>
      <c r="K183" s="51"/>
      <c r="L183" s="52">
        <f t="shared" si="55"/>
        <v>31</v>
      </c>
      <c r="M183" s="52">
        <f t="shared" si="55"/>
        <v>31</v>
      </c>
      <c r="N183" s="53"/>
      <c r="O183" s="170"/>
      <c r="P183" s="55">
        <f t="shared" si="51"/>
        <v>0</v>
      </c>
      <c r="Q183" s="171"/>
      <c r="R183" s="56" t="str">
        <f t="shared" si="53"/>
        <v/>
      </c>
      <c r="S183" s="57" t="str">
        <f t="shared" si="54"/>
        <v/>
      </c>
      <c r="T183" s="58"/>
    </row>
    <row r="184" spans="2:20" x14ac:dyDescent="0.35">
      <c r="B184" s="45" t="str">
        <f>IF(J184="","",RANK($J184,$J$9:$J$620,0)+COUNTIF($J$9:J184,$J184)-1)</f>
        <v/>
      </c>
      <c r="C184" s="46"/>
      <c r="D184" s="46"/>
      <c r="E184" s="46"/>
      <c r="F184" s="47" t="str">
        <f t="shared" si="52"/>
        <v>--</v>
      </c>
      <c r="G184" s="48"/>
      <c r="H184" s="169"/>
      <c r="I184" s="49"/>
      <c r="J184" s="50"/>
      <c r="K184" s="51"/>
      <c r="L184" s="52">
        <f t="shared" si="55"/>
        <v>31</v>
      </c>
      <c r="M184" s="52">
        <f t="shared" si="55"/>
        <v>31</v>
      </c>
      <c r="N184" s="53"/>
      <c r="O184" s="170"/>
      <c r="P184" s="55">
        <f t="shared" si="51"/>
        <v>0</v>
      </c>
      <c r="Q184" s="171"/>
      <c r="R184" s="56" t="str">
        <f t="shared" si="53"/>
        <v/>
      </c>
      <c r="S184" s="57" t="str">
        <f t="shared" si="54"/>
        <v/>
      </c>
      <c r="T184" s="58"/>
    </row>
    <row r="185" spans="2:20" x14ac:dyDescent="0.35">
      <c r="B185" s="45" t="str">
        <f>IF(J185="","",RANK($J185,$J$9:$J$620,0)+COUNTIF($J$9:J185,$J185)-1)</f>
        <v/>
      </c>
      <c r="C185" s="46"/>
      <c r="D185" s="46"/>
      <c r="E185" s="46"/>
      <c r="F185" s="47" t="str">
        <f t="shared" si="52"/>
        <v>--</v>
      </c>
      <c r="G185" s="48"/>
      <c r="H185" s="169"/>
      <c r="I185" s="49"/>
      <c r="J185" s="50"/>
      <c r="K185" s="51"/>
      <c r="L185" s="52">
        <f t="shared" si="55"/>
        <v>31</v>
      </c>
      <c r="M185" s="52">
        <f t="shared" si="55"/>
        <v>31</v>
      </c>
      <c r="N185" s="53"/>
      <c r="O185" s="170"/>
      <c r="P185" s="55">
        <f t="shared" si="51"/>
        <v>0</v>
      </c>
      <c r="Q185" s="171"/>
      <c r="R185" s="56" t="str">
        <f t="shared" si="53"/>
        <v/>
      </c>
      <c r="S185" s="57" t="str">
        <f t="shared" si="54"/>
        <v/>
      </c>
      <c r="T185" s="58"/>
    </row>
    <row r="186" spans="2:20" x14ac:dyDescent="0.35">
      <c r="B186" s="45" t="str">
        <f>IF(J186="","",RANK($J186,$J$9:$J$620,0)+COUNTIF($J$9:J186,$J186)-1)</f>
        <v/>
      </c>
      <c r="C186" s="46"/>
      <c r="D186" s="46"/>
      <c r="E186" s="46"/>
      <c r="F186" s="47" t="str">
        <f t="shared" si="52"/>
        <v>--</v>
      </c>
      <c r="G186" s="48"/>
      <c r="H186" s="169"/>
      <c r="I186" s="49"/>
      <c r="J186" s="50"/>
      <c r="K186" s="51"/>
      <c r="L186" s="52">
        <f t="shared" si="55"/>
        <v>31</v>
      </c>
      <c r="M186" s="52">
        <f t="shared" si="55"/>
        <v>31</v>
      </c>
      <c r="N186" s="53"/>
      <c r="O186" s="170"/>
      <c r="P186" s="55">
        <f t="shared" si="51"/>
        <v>0</v>
      </c>
      <c r="Q186" s="171"/>
      <c r="R186" s="56" t="str">
        <f t="shared" si="53"/>
        <v/>
      </c>
      <c r="S186" s="57" t="str">
        <f t="shared" si="54"/>
        <v/>
      </c>
      <c r="T186" s="58"/>
    </row>
    <row r="187" spans="2:20" x14ac:dyDescent="0.35">
      <c r="B187" s="45" t="str">
        <f>IF(J187="","",RANK($J187,$J$9:$J$620,0)+COUNTIF($J$9:J187,$J187)-1)</f>
        <v/>
      </c>
      <c r="C187" s="46"/>
      <c r="D187" s="46"/>
      <c r="E187" s="46"/>
      <c r="F187" s="47" t="str">
        <f t="shared" si="52"/>
        <v>--</v>
      </c>
      <c r="G187" s="48"/>
      <c r="H187" s="169"/>
      <c r="I187" s="49"/>
      <c r="J187" s="50"/>
      <c r="K187" s="51"/>
      <c r="L187" s="52">
        <f t="shared" si="55"/>
        <v>31</v>
      </c>
      <c r="M187" s="52">
        <f t="shared" si="55"/>
        <v>31</v>
      </c>
      <c r="N187" s="53"/>
      <c r="O187" s="170"/>
      <c r="P187" s="55">
        <f t="shared" si="51"/>
        <v>0</v>
      </c>
      <c r="Q187" s="171"/>
      <c r="R187" s="56" t="str">
        <f t="shared" si="53"/>
        <v/>
      </c>
      <c r="S187" s="57" t="str">
        <f t="shared" si="54"/>
        <v/>
      </c>
      <c r="T187" s="58"/>
    </row>
    <row r="188" spans="2:20" x14ac:dyDescent="0.35">
      <c r="B188" s="45" t="str">
        <f>IF(J188="","",RANK($J188,$J$9:$J$620,0)+COUNTIF($J$9:J188,$J188)-1)</f>
        <v/>
      </c>
      <c r="C188" s="46"/>
      <c r="D188" s="46"/>
      <c r="E188" s="46"/>
      <c r="F188" s="47" t="str">
        <f t="shared" si="52"/>
        <v>--</v>
      </c>
      <c r="G188" s="48"/>
      <c r="H188" s="169"/>
      <c r="I188" s="49"/>
      <c r="J188" s="50"/>
      <c r="K188" s="51"/>
      <c r="L188" s="52">
        <f t="shared" si="55"/>
        <v>31</v>
      </c>
      <c r="M188" s="52">
        <f t="shared" si="55"/>
        <v>31</v>
      </c>
      <c r="N188" s="53"/>
      <c r="O188" s="170"/>
      <c r="P188" s="55">
        <f t="shared" si="51"/>
        <v>0</v>
      </c>
      <c r="Q188" s="171"/>
      <c r="R188" s="56" t="str">
        <f t="shared" si="53"/>
        <v/>
      </c>
      <c r="S188" s="57" t="str">
        <f t="shared" si="54"/>
        <v/>
      </c>
      <c r="T188" s="58"/>
    </row>
    <row r="189" spans="2:20" x14ac:dyDescent="0.35">
      <c r="B189" s="45" t="str">
        <f>IF(J189="","",RANK($J189,$J$9:$J$620,0)+COUNTIF($J$9:J189,$J189)-1)</f>
        <v/>
      </c>
      <c r="C189" s="46"/>
      <c r="D189" s="46"/>
      <c r="E189" s="46"/>
      <c r="F189" s="47" t="str">
        <f t="shared" si="52"/>
        <v>--</v>
      </c>
      <c r="G189" s="48"/>
      <c r="H189" s="169"/>
      <c r="I189" s="49"/>
      <c r="J189" s="50"/>
      <c r="K189" s="51"/>
      <c r="L189" s="52">
        <f t="shared" si="55"/>
        <v>31</v>
      </c>
      <c r="M189" s="52">
        <f t="shared" si="55"/>
        <v>31</v>
      </c>
      <c r="N189" s="53"/>
      <c r="O189" s="170"/>
      <c r="P189" s="55">
        <f t="shared" si="51"/>
        <v>0</v>
      </c>
      <c r="Q189" s="171"/>
      <c r="R189" s="56" t="str">
        <f t="shared" si="53"/>
        <v/>
      </c>
      <c r="S189" s="57" t="str">
        <f t="shared" si="54"/>
        <v/>
      </c>
      <c r="T189" s="58"/>
    </row>
    <row r="190" spans="2:20" x14ac:dyDescent="0.35">
      <c r="B190" s="45" t="str">
        <f>IF(J190="","",RANK($J190,$J$9:$J$620,0)+COUNTIF($J$9:J190,$J190)-1)</f>
        <v/>
      </c>
      <c r="C190" s="46"/>
      <c r="D190" s="46"/>
      <c r="E190" s="46"/>
      <c r="F190" s="47" t="str">
        <f t="shared" si="52"/>
        <v>--</v>
      </c>
      <c r="G190" s="48"/>
      <c r="H190" s="169"/>
      <c r="I190" s="49"/>
      <c r="J190" s="50"/>
      <c r="K190" s="51"/>
      <c r="L190" s="52">
        <f t="shared" si="55"/>
        <v>31</v>
      </c>
      <c r="M190" s="52">
        <f t="shared" si="55"/>
        <v>31</v>
      </c>
      <c r="N190" s="53"/>
      <c r="O190" s="170"/>
      <c r="P190" s="55">
        <f t="shared" si="51"/>
        <v>0</v>
      </c>
      <c r="Q190" s="171"/>
      <c r="R190" s="56" t="str">
        <f t="shared" si="53"/>
        <v/>
      </c>
      <c r="S190" s="57" t="str">
        <f t="shared" si="54"/>
        <v/>
      </c>
      <c r="T190" s="58"/>
    </row>
    <row r="191" spans="2:20" x14ac:dyDescent="0.35">
      <c r="B191" s="45" t="str">
        <f>IF(J191="","",RANK($J191,$J$9:$J$620,0)+COUNTIF($J$9:J191,$J191)-1)</f>
        <v/>
      </c>
      <c r="C191" s="46"/>
      <c r="D191" s="46"/>
      <c r="E191" s="46"/>
      <c r="F191" s="47" t="str">
        <f t="shared" si="52"/>
        <v>--</v>
      </c>
      <c r="G191" s="48"/>
      <c r="H191" s="169"/>
      <c r="I191" s="49"/>
      <c r="J191" s="50"/>
      <c r="K191" s="51"/>
      <c r="L191" s="52">
        <f t="shared" si="55"/>
        <v>31</v>
      </c>
      <c r="M191" s="52">
        <f t="shared" si="55"/>
        <v>31</v>
      </c>
      <c r="N191" s="53"/>
      <c r="O191" s="170"/>
      <c r="P191" s="55">
        <f t="shared" si="51"/>
        <v>0</v>
      </c>
      <c r="Q191" s="171"/>
      <c r="R191" s="56" t="str">
        <f t="shared" si="53"/>
        <v/>
      </c>
      <c r="S191" s="57" t="str">
        <f t="shared" si="54"/>
        <v/>
      </c>
      <c r="T191" s="58"/>
    </row>
    <row r="192" spans="2:20" x14ac:dyDescent="0.35">
      <c r="B192" s="45" t="str">
        <f>IF(J192="","",RANK($J192,$J$9:$J$620,0)+COUNTIF($J$9:J192,$J192)-1)</f>
        <v/>
      </c>
      <c r="C192" s="46"/>
      <c r="D192" s="46"/>
      <c r="E192" s="46"/>
      <c r="F192" s="47" t="str">
        <f t="shared" si="52"/>
        <v>--</v>
      </c>
      <c r="G192" s="48"/>
      <c r="H192" s="169"/>
      <c r="I192" s="49"/>
      <c r="J192" s="50"/>
      <c r="K192" s="51"/>
      <c r="L192" s="52">
        <f t="shared" si="55"/>
        <v>31</v>
      </c>
      <c r="M192" s="52">
        <f t="shared" si="55"/>
        <v>31</v>
      </c>
      <c r="N192" s="53"/>
      <c r="O192" s="170"/>
      <c r="P192" s="55">
        <f t="shared" si="51"/>
        <v>0</v>
      </c>
      <c r="Q192" s="171"/>
      <c r="R192" s="56" t="str">
        <f t="shared" si="53"/>
        <v/>
      </c>
      <c r="S192" s="57" t="str">
        <f t="shared" si="54"/>
        <v/>
      </c>
      <c r="T192" s="58"/>
    </row>
    <row r="193" spans="2:20" x14ac:dyDescent="0.35">
      <c r="B193" s="45" t="str">
        <f>IF(J193="","",RANK($J193,$J$9:$J$620,0)+COUNTIF($J$9:J193,$J193)-1)</f>
        <v/>
      </c>
      <c r="C193" s="46"/>
      <c r="D193" s="46"/>
      <c r="E193" s="46"/>
      <c r="F193" s="47" t="str">
        <f t="shared" si="52"/>
        <v>--</v>
      </c>
      <c r="G193" s="48"/>
      <c r="H193" s="169"/>
      <c r="I193" s="49"/>
      <c r="J193" s="50"/>
      <c r="K193" s="51"/>
      <c r="L193" s="52">
        <f t="shared" si="55"/>
        <v>31</v>
      </c>
      <c r="M193" s="52">
        <f t="shared" si="55"/>
        <v>31</v>
      </c>
      <c r="N193" s="53"/>
      <c r="O193" s="170"/>
      <c r="P193" s="55">
        <f t="shared" si="51"/>
        <v>0</v>
      </c>
      <c r="Q193" s="171"/>
      <c r="R193" s="56" t="str">
        <f t="shared" si="53"/>
        <v/>
      </c>
      <c r="S193" s="57" t="str">
        <f t="shared" si="54"/>
        <v/>
      </c>
      <c r="T193" s="58"/>
    </row>
    <row r="194" spans="2:20" x14ac:dyDescent="0.35">
      <c r="B194" s="45" t="str">
        <f>IF(J194="","",RANK($J194,$J$9:$J$620,0)+COUNTIF($J$9:J194,$J194)-1)</f>
        <v/>
      </c>
      <c r="C194" s="46"/>
      <c r="D194" s="46"/>
      <c r="E194" s="46"/>
      <c r="F194" s="47" t="str">
        <f t="shared" si="52"/>
        <v>--</v>
      </c>
      <c r="G194" s="48"/>
      <c r="H194" s="169"/>
      <c r="I194" s="49"/>
      <c r="J194" s="50"/>
      <c r="K194" s="51"/>
      <c r="L194" s="52">
        <f t="shared" si="55"/>
        <v>31</v>
      </c>
      <c r="M194" s="52">
        <f t="shared" si="55"/>
        <v>31</v>
      </c>
      <c r="N194" s="53"/>
      <c r="O194" s="170"/>
      <c r="P194" s="55">
        <f t="shared" si="51"/>
        <v>0</v>
      </c>
      <c r="Q194" s="171"/>
      <c r="R194" s="56" t="str">
        <f t="shared" si="53"/>
        <v/>
      </c>
      <c r="S194" s="57" t="str">
        <f t="shared" si="54"/>
        <v/>
      </c>
      <c r="T194" s="58"/>
    </row>
    <row r="195" spans="2:20" x14ac:dyDescent="0.35">
      <c r="B195" s="45" t="str">
        <f>IF(J195="","",RANK($J195,$J$9:$J$620,0)+COUNTIF($J$9:J195,$J195)-1)</f>
        <v/>
      </c>
      <c r="C195" s="46"/>
      <c r="D195" s="46"/>
      <c r="E195" s="46"/>
      <c r="F195" s="47" t="str">
        <f t="shared" si="52"/>
        <v>--</v>
      </c>
      <c r="G195" s="48"/>
      <c r="H195" s="169"/>
      <c r="I195" s="49"/>
      <c r="J195" s="50"/>
      <c r="K195" s="51"/>
      <c r="L195" s="52">
        <f t="shared" si="55"/>
        <v>31</v>
      </c>
      <c r="M195" s="52">
        <f t="shared" si="55"/>
        <v>31</v>
      </c>
      <c r="N195" s="53"/>
      <c r="O195" s="170"/>
      <c r="P195" s="55">
        <f t="shared" si="51"/>
        <v>0</v>
      </c>
      <c r="Q195" s="171"/>
      <c r="R195" s="56" t="str">
        <f t="shared" si="53"/>
        <v/>
      </c>
      <c r="S195" s="57" t="str">
        <f t="shared" si="54"/>
        <v/>
      </c>
      <c r="T195" s="58"/>
    </row>
    <row r="196" spans="2:20" x14ac:dyDescent="0.35">
      <c r="B196" s="45" t="str">
        <f>IF(J196="","",RANK($J196,$J$9:$J$620,0)+COUNTIF($J$9:J196,$J196)-1)</f>
        <v/>
      </c>
      <c r="C196" s="46"/>
      <c r="D196" s="46"/>
      <c r="E196" s="46"/>
      <c r="F196" s="47" t="str">
        <f t="shared" si="52"/>
        <v>--</v>
      </c>
      <c r="G196" s="48"/>
      <c r="H196" s="169"/>
      <c r="I196" s="49"/>
      <c r="J196" s="50"/>
      <c r="K196" s="51"/>
      <c r="L196" s="52">
        <f t="shared" si="55"/>
        <v>31</v>
      </c>
      <c r="M196" s="52">
        <f t="shared" si="55"/>
        <v>31</v>
      </c>
      <c r="N196" s="53"/>
      <c r="O196" s="170"/>
      <c r="P196" s="55">
        <f t="shared" si="51"/>
        <v>0</v>
      </c>
      <c r="Q196" s="171"/>
      <c r="R196" s="56" t="str">
        <f t="shared" si="53"/>
        <v/>
      </c>
      <c r="S196" s="57" t="str">
        <f t="shared" si="54"/>
        <v/>
      </c>
      <c r="T196" s="58"/>
    </row>
    <row r="197" spans="2:20" x14ac:dyDescent="0.35">
      <c r="B197" s="45" t="str">
        <f>IF(J197="","",RANK($J197,$J$9:$J$620,0)+COUNTIF($J$9:J197,$J197)-1)</f>
        <v/>
      </c>
      <c r="C197" s="46"/>
      <c r="D197" s="46"/>
      <c r="E197" s="46"/>
      <c r="F197" s="47" t="str">
        <f t="shared" si="52"/>
        <v>--</v>
      </c>
      <c r="G197" s="48"/>
      <c r="H197" s="169"/>
      <c r="I197" s="49"/>
      <c r="J197" s="50"/>
      <c r="K197" s="51"/>
      <c r="L197" s="52">
        <f t="shared" si="55"/>
        <v>31</v>
      </c>
      <c r="M197" s="52">
        <f t="shared" si="55"/>
        <v>31</v>
      </c>
      <c r="N197" s="53"/>
      <c r="O197" s="170"/>
      <c r="P197" s="55">
        <f t="shared" si="51"/>
        <v>0</v>
      </c>
      <c r="Q197" s="171"/>
      <c r="R197" s="56" t="str">
        <f t="shared" si="53"/>
        <v/>
      </c>
      <c r="S197" s="57" t="str">
        <f t="shared" si="54"/>
        <v/>
      </c>
      <c r="T197" s="58"/>
    </row>
    <row r="198" spans="2:20" x14ac:dyDescent="0.35">
      <c r="B198" s="45" t="str">
        <f>IF(J198="","",RANK($J198,$J$9:$J$620,0)+COUNTIF($J$9:J198,$J198)-1)</f>
        <v/>
      </c>
      <c r="C198" s="46"/>
      <c r="D198" s="46"/>
      <c r="E198" s="46"/>
      <c r="F198" s="47" t="str">
        <f t="shared" si="52"/>
        <v>--</v>
      </c>
      <c r="G198" s="48"/>
      <c r="H198" s="169"/>
      <c r="I198" s="49"/>
      <c r="J198" s="50"/>
      <c r="K198" s="51"/>
      <c r="L198" s="52">
        <f t="shared" si="55"/>
        <v>31</v>
      </c>
      <c r="M198" s="52">
        <f t="shared" si="55"/>
        <v>31</v>
      </c>
      <c r="N198" s="53"/>
      <c r="O198" s="170"/>
      <c r="P198" s="55">
        <f t="shared" si="51"/>
        <v>0</v>
      </c>
      <c r="Q198" s="171"/>
      <c r="R198" s="56" t="str">
        <f t="shared" si="53"/>
        <v/>
      </c>
      <c r="S198" s="57" t="str">
        <f t="shared" si="54"/>
        <v/>
      </c>
      <c r="T198" s="58"/>
    </row>
    <row r="199" spans="2:20" x14ac:dyDescent="0.35">
      <c r="B199" s="45" t="str">
        <f>IF(J199="","",RANK($J199,$J$9:$J$620,0)+COUNTIF($J$9:J199,$J199)-1)</f>
        <v/>
      </c>
      <c r="C199" s="46"/>
      <c r="D199" s="46"/>
      <c r="E199" s="46"/>
      <c r="F199" s="47" t="str">
        <f t="shared" si="52"/>
        <v>--</v>
      </c>
      <c r="G199" s="48"/>
      <c r="H199" s="169"/>
      <c r="I199" s="49"/>
      <c r="J199" s="50"/>
      <c r="K199" s="51"/>
      <c r="L199" s="52">
        <f t="shared" si="55"/>
        <v>31</v>
      </c>
      <c r="M199" s="52">
        <f t="shared" si="55"/>
        <v>31</v>
      </c>
      <c r="N199" s="53"/>
      <c r="O199" s="170"/>
      <c r="P199" s="55">
        <f t="shared" si="51"/>
        <v>0</v>
      </c>
      <c r="Q199" s="171"/>
      <c r="R199" s="56" t="str">
        <f t="shared" si="53"/>
        <v/>
      </c>
      <c r="S199" s="57" t="str">
        <f t="shared" si="54"/>
        <v/>
      </c>
      <c r="T199" s="58"/>
    </row>
    <row r="200" spans="2:20" x14ac:dyDescent="0.35">
      <c r="B200" s="45" t="str">
        <f>IF(J200="","",RANK($J200,$J$9:$J$620,0)+COUNTIF($J$9:J200,$J200)-1)</f>
        <v/>
      </c>
      <c r="C200" s="46"/>
      <c r="D200" s="46"/>
      <c r="E200" s="46"/>
      <c r="F200" s="47" t="str">
        <f t="shared" si="52"/>
        <v>--</v>
      </c>
      <c r="G200" s="48"/>
      <c r="H200" s="169"/>
      <c r="I200" s="49"/>
      <c r="J200" s="50"/>
      <c r="K200" s="51"/>
      <c r="L200" s="52">
        <f t="shared" si="55"/>
        <v>31</v>
      </c>
      <c r="M200" s="52">
        <f t="shared" si="55"/>
        <v>31</v>
      </c>
      <c r="N200" s="53"/>
      <c r="O200" s="170"/>
      <c r="P200" s="55">
        <f t="shared" si="51"/>
        <v>0</v>
      </c>
      <c r="Q200" s="171"/>
      <c r="R200" s="56" t="str">
        <f t="shared" si="53"/>
        <v/>
      </c>
      <c r="S200" s="57" t="str">
        <f t="shared" si="54"/>
        <v/>
      </c>
      <c r="T200" s="58"/>
    </row>
    <row r="201" spans="2:20" x14ac:dyDescent="0.35">
      <c r="B201" s="45" t="str">
        <f>IF(J201="","",RANK($J201,$J$9:$J$620,0)+COUNTIF($J$9:J201,$J201)-1)</f>
        <v/>
      </c>
      <c r="C201" s="46"/>
      <c r="D201" s="46"/>
      <c r="E201" s="46"/>
      <c r="F201" s="47" t="str">
        <f t="shared" si="52"/>
        <v>--</v>
      </c>
      <c r="G201" s="48"/>
      <c r="H201" s="169"/>
      <c r="I201" s="49"/>
      <c r="J201" s="50"/>
      <c r="K201" s="51"/>
      <c r="L201" s="52">
        <f t="shared" si="55"/>
        <v>31</v>
      </c>
      <c r="M201" s="52">
        <f t="shared" si="55"/>
        <v>31</v>
      </c>
      <c r="N201" s="53"/>
      <c r="O201" s="170"/>
      <c r="P201" s="55">
        <f t="shared" ref="P201:P264" si="56">VLOOKUP(F201,$V$8:$AP$43,COLUMNS($V$9:$AB$9),0)</f>
        <v>0</v>
      </c>
      <c r="Q201" s="171"/>
      <c r="R201" s="56" t="str">
        <f t="shared" si="53"/>
        <v/>
      </c>
      <c r="S201" s="57" t="str">
        <f t="shared" si="54"/>
        <v/>
      </c>
      <c r="T201" s="58"/>
    </row>
    <row r="202" spans="2:20" x14ac:dyDescent="0.35">
      <c r="B202" s="45" t="str">
        <f>IF(J202="","",RANK($J202,$J$9:$J$620,0)+COUNTIF($J$9:J202,$J202)-1)</f>
        <v/>
      </c>
      <c r="C202" s="46"/>
      <c r="D202" s="46"/>
      <c r="E202" s="46"/>
      <c r="F202" s="47" t="str">
        <f t="shared" ref="F202:F265" si="57">G202&amp;"-"&amp;E202&amp;"-"&amp;D202</f>
        <v>--</v>
      </c>
      <c r="G202" s="48"/>
      <c r="H202" s="169"/>
      <c r="I202" s="49"/>
      <c r="J202" s="50"/>
      <c r="K202" s="51"/>
      <c r="L202" s="52">
        <f t="shared" si="55"/>
        <v>31</v>
      </c>
      <c r="M202" s="52">
        <f t="shared" si="55"/>
        <v>31</v>
      </c>
      <c r="N202" s="53"/>
      <c r="O202" s="170"/>
      <c r="P202" s="55">
        <f t="shared" si="56"/>
        <v>0</v>
      </c>
      <c r="Q202" s="171"/>
      <c r="R202" s="56" t="str">
        <f t="shared" ref="R202:R265" si="58">IF(I202="","",IF(($G$5-I202)/365&gt;1.5,"Renewed Lease","New Lease"))</f>
        <v/>
      </c>
      <c r="S202" s="57" t="str">
        <f t="shared" ref="S202:S265" si="59">IF(Q202="","",IFERROR(1-Q202/P202,""))</f>
        <v/>
      </c>
      <c r="T202" s="58"/>
    </row>
    <row r="203" spans="2:20" x14ac:dyDescent="0.35">
      <c r="B203" s="45" t="str">
        <f>IF(J203="","",RANK($J203,$J$9:$J$620,0)+COUNTIF($J$9:J203,$J203)-1)</f>
        <v/>
      </c>
      <c r="C203" s="46"/>
      <c r="D203" s="46"/>
      <c r="E203" s="46"/>
      <c r="F203" s="47" t="str">
        <f t="shared" si="57"/>
        <v>--</v>
      </c>
      <c r="G203" s="48"/>
      <c r="H203" s="169"/>
      <c r="I203" s="49"/>
      <c r="J203" s="50"/>
      <c r="K203" s="51"/>
      <c r="L203" s="52">
        <f t="shared" si="55"/>
        <v>31</v>
      </c>
      <c r="M203" s="52">
        <f t="shared" si="55"/>
        <v>31</v>
      </c>
      <c r="N203" s="53"/>
      <c r="O203" s="170"/>
      <c r="P203" s="55">
        <f t="shared" si="56"/>
        <v>0</v>
      </c>
      <c r="Q203" s="171"/>
      <c r="R203" s="56" t="str">
        <f t="shared" si="58"/>
        <v/>
      </c>
      <c r="S203" s="57" t="str">
        <f t="shared" si="59"/>
        <v/>
      </c>
      <c r="T203" s="58"/>
    </row>
    <row r="204" spans="2:20" x14ac:dyDescent="0.35">
      <c r="B204" s="45" t="str">
        <f>IF(J204="","",RANK($J204,$J$9:$J$620,0)+COUNTIF($J$9:J204,$J204)-1)</f>
        <v/>
      </c>
      <c r="C204" s="46"/>
      <c r="D204" s="46"/>
      <c r="E204" s="46"/>
      <c r="F204" s="47" t="str">
        <f t="shared" si="57"/>
        <v>--</v>
      </c>
      <c r="G204" s="48"/>
      <c r="H204" s="169"/>
      <c r="I204" s="49"/>
      <c r="J204" s="50"/>
      <c r="K204" s="51"/>
      <c r="L204" s="52">
        <f t="shared" si="55"/>
        <v>31</v>
      </c>
      <c r="M204" s="52">
        <f t="shared" si="55"/>
        <v>31</v>
      </c>
      <c r="N204" s="53"/>
      <c r="O204" s="170"/>
      <c r="P204" s="55">
        <f t="shared" si="56"/>
        <v>0</v>
      </c>
      <c r="Q204" s="171"/>
      <c r="R204" s="56" t="str">
        <f t="shared" si="58"/>
        <v/>
      </c>
      <c r="S204" s="57" t="str">
        <f t="shared" si="59"/>
        <v/>
      </c>
      <c r="T204" s="58"/>
    </row>
    <row r="205" spans="2:20" x14ac:dyDescent="0.35">
      <c r="B205" s="45" t="str">
        <f>IF(J205="","",RANK($J205,$J$9:$J$620,0)+COUNTIF($J$9:J205,$J205)-1)</f>
        <v/>
      </c>
      <c r="C205" s="46"/>
      <c r="D205" s="46"/>
      <c r="E205" s="46"/>
      <c r="F205" s="47" t="str">
        <f t="shared" si="57"/>
        <v>--</v>
      </c>
      <c r="G205" s="48"/>
      <c r="H205" s="169"/>
      <c r="I205" s="49"/>
      <c r="J205" s="50"/>
      <c r="K205" s="51"/>
      <c r="L205" s="52">
        <f t="shared" si="55"/>
        <v>31</v>
      </c>
      <c r="M205" s="52">
        <f t="shared" si="55"/>
        <v>31</v>
      </c>
      <c r="N205" s="53"/>
      <c r="O205" s="170"/>
      <c r="P205" s="55">
        <f t="shared" si="56"/>
        <v>0</v>
      </c>
      <c r="Q205" s="171"/>
      <c r="R205" s="56" t="str">
        <f t="shared" si="58"/>
        <v/>
      </c>
      <c r="S205" s="57" t="str">
        <f t="shared" si="59"/>
        <v/>
      </c>
      <c r="T205" s="58"/>
    </row>
    <row r="206" spans="2:20" x14ac:dyDescent="0.35">
      <c r="B206" s="45" t="str">
        <f>IF(J206="","",RANK($J206,$J$9:$J$620,0)+COUNTIF($J$9:J206,$J206)-1)</f>
        <v/>
      </c>
      <c r="C206" s="46"/>
      <c r="D206" s="46"/>
      <c r="E206" s="46"/>
      <c r="F206" s="47" t="str">
        <f t="shared" si="57"/>
        <v>--</v>
      </c>
      <c r="G206" s="48"/>
      <c r="H206" s="169"/>
      <c r="I206" s="49"/>
      <c r="J206" s="50"/>
      <c r="K206" s="51"/>
      <c r="L206" s="52">
        <f t="shared" si="55"/>
        <v>31</v>
      </c>
      <c r="M206" s="52">
        <f t="shared" si="55"/>
        <v>31</v>
      </c>
      <c r="N206" s="53"/>
      <c r="O206" s="170"/>
      <c r="P206" s="55">
        <f t="shared" si="56"/>
        <v>0</v>
      </c>
      <c r="Q206" s="171"/>
      <c r="R206" s="56" t="str">
        <f t="shared" si="58"/>
        <v/>
      </c>
      <c r="S206" s="57" t="str">
        <f t="shared" si="59"/>
        <v/>
      </c>
      <c r="T206" s="58"/>
    </row>
    <row r="207" spans="2:20" x14ac:dyDescent="0.35">
      <c r="B207" s="45" t="str">
        <f>IF(J207="","",RANK($J207,$J$9:$J$620,0)+COUNTIF($J$9:J207,$J207)-1)</f>
        <v/>
      </c>
      <c r="C207" s="46"/>
      <c r="D207" s="46"/>
      <c r="E207" s="46"/>
      <c r="F207" s="47" t="str">
        <f t="shared" si="57"/>
        <v>--</v>
      </c>
      <c r="G207" s="48"/>
      <c r="H207" s="169"/>
      <c r="I207" s="49"/>
      <c r="J207" s="50"/>
      <c r="K207" s="51"/>
      <c r="L207" s="52">
        <f t="shared" si="55"/>
        <v>31</v>
      </c>
      <c r="M207" s="52">
        <f t="shared" si="55"/>
        <v>31</v>
      </c>
      <c r="N207" s="53"/>
      <c r="O207" s="170"/>
      <c r="P207" s="55">
        <f t="shared" si="56"/>
        <v>0</v>
      </c>
      <c r="Q207" s="171"/>
      <c r="R207" s="56" t="str">
        <f t="shared" si="58"/>
        <v/>
      </c>
      <c r="S207" s="57" t="str">
        <f t="shared" si="59"/>
        <v/>
      </c>
      <c r="T207" s="58"/>
    </row>
    <row r="208" spans="2:20" x14ac:dyDescent="0.35">
      <c r="B208" s="45" t="str">
        <f>IF(J208="","",RANK($J208,$J$9:$J$620,0)+COUNTIF($J$9:J208,$J208)-1)</f>
        <v/>
      </c>
      <c r="C208" s="46"/>
      <c r="D208" s="46"/>
      <c r="E208" s="46"/>
      <c r="F208" s="47" t="str">
        <f t="shared" si="57"/>
        <v>--</v>
      </c>
      <c r="G208" s="48"/>
      <c r="H208" s="169"/>
      <c r="I208" s="49"/>
      <c r="J208" s="50"/>
      <c r="K208" s="51"/>
      <c r="L208" s="52">
        <f t="shared" si="55"/>
        <v>31</v>
      </c>
      <c r="M208" s="52">
        <f t="shared" si="55"/>
        <v>31</v>
      </c>
      <c r="N208" s="53"/>
      <c r="O208" s="170"/>
      <c r="P208" s="55">
        <f t="shared" si="56"/>
        <v>0</v>
      </c>
      <c r="Q208" s="171"/>
      <c r="R208" s="56" t="str">
        <f t="shared" si="58"/>
        <v/>
      </c>
      <c r="S208" s="57" t="str">
        <f t="shared" si="59"/>
        <v/>
      </c>
      <c r="T208" s="58"/>
    </row>
    <row r="209" spans="2:20" x14ac:dyDescent="0.35">
      <c r="B209" s="45" t="str">
        <f>IF(J209="","",RANK($J209,$J$9:$J$620,0)+COUNTIF($J$9:J209,$J209)-1)</f>
        <v/>
      </c>
      <c r="C209" s="46"/>
      <c r="D209" s="46"/>
      <c r="E209" s="46"/>
      <c r="F209" s="47" t="str">
        <f t="shared" si="57"/>
        <v>--</v>
      </c>
      <c r="G209" s="48"/>
      <c r="H209" s="169"/>
      <c r="I209" s="49"/>
      <c r="J209" s="50"/>
      <c r="K209" s="51"/>
      <c r="L209" s="52">
        <f t="shared" si="55"/>
        <v>31</v>
      </c>
      <c r="M209" s="52">
        <f t="shared" si="55"/>
        <v>31</v>
      </c>
      <c r="N209" s="53"/>
      <c r="O209" s="170"/>
      <c r="P209" s="55">
        <f t="shared" si="56"/>
        <v>0</v>
      </c>
      <c r="Q209" s="171"/>
      <c r="R209" s="56" t="str">
        <f t="shared" si="58"/>
        <v/>
      </c>
      <c r="S209" s="57" t="str">
        <f t="shared" si="59"/>
        <v/>
      </c>
      <c r="T209" s="58"/>
    </row>
    <row r="210" spans="2:20" x14ac:dyDescent="0.35">
      <c r="B210" s="45" t="str">
        <f>IF(J210="","",RANK($J210,$J$9:$J$620,0)+COUNTIF($J$9:J210,$J210)-1)</f>
        <v/>
      </c>
      <c r="C210" s="46"/>
      <c r="D210" s="46"/>
      <c r="E210" s="46"/>
      <c r="F210" s="47" t="str">
        <f t="shared" si="57"/>
        <v>--</v>
      </c>
      <c r="G210" s="48"/>
      <c r="H210" s="169"/>
      <c r="I210" s="49"/>
      <c r="J210" s="50"/>
      <c r="K210" s="51"/>
      <c r="L210" s="52">
        <f t="shared" ref="L210:M273" si="60">EOMONTH(J210,0)</f>
        <v>31</v>
      </c>
      <c r="M210" s="52">
        <f t="shared" si="60"/>
        <v>31</v>
      </c>
      <c r="N210" s="53"/>
      <c r="O210" s="170"/>
      <c r="P210" s="55">
        <f t="shared" si="56"/>
        <v>0</v>
      </c>
      <c r="Q210" s="171"/>
      <c r="R210" s="56" t="str">
        <f t="shared" si="58"/>
        <v/>
      </c>
      <c r="S210" s="57" t="str">
        <f t="shared" si="59"/>
        <v/>
      </c>
      <c r="T210" s="58"/>
    </row>
    <row r="211" spans="2:20" x14ac:dyDescent="0.35">
      <c r="B211" s="45" t="str">
        <f>IF(J211="","",RANK($J211,$J$9:$J$620,0)+COUNTIF($J$9:J211,$J211)-1)</f>
        <v/>
      </c>
      <c r="C211" s="46"/>
      <c r="D211" s="46"/>
      <c r="E211" s="46"/>
      <c r="F211" s="47" t="str">
        <f t="shared" si="57"/>
        <v>--</v>
      </c>
      <c r="G211" s="48"/>
      <c r="H211" s="169"/>
      <c r="I211" s="49"/>
      <c r="J211" s="50"/>
      <c r="K211" s="51"/>
      <c r="L211" s="52">
        <f t="shared" si="60"/>
        <v>31</v>
      </c>
      <c r="M211" s="52">
        <f t="shared" si="60"/>
        <v>31</v>
      </c>
      <c r="N211" s="53"/>
      <c r="O211" s="170"/>
      <c r="P211" s="55">
        <f t="shared" si="56"/>
        <v>0</v>
      </c>
      <c r="Q211" s="171"/>
      <c r="R211" s="56" t="str">
        <f t="shared" si="58"/>
        <v/>
      </c>
      <c r="S211" s="57" t="str">
        <f t="shared" si="59"/>
        <v/>
      </c>
      <c r="T211" s="58"/>
    </row>
    <row r="212" spans="2:20" x14ac:dyDescent="0.35">
      <c r="B212" s="45" t="str">
        <f>IF(J212="","",RANK($J212,$J$9:$J$620,0)+COUNTIF($J$9:J212,$J212)-1)</f>
        <v/>
      </c>
      <c r="C212" s="46"/>
      <c r="D212" s="46"/>
      <c r="E212" s="46"/>
      <c r="F212" s="47" t="str">
        <f t="shared" si="57"/>
        <v>--</v>
      </c>
      <c r="G212" s="48"/>
      <c r="H212" s="169"/>
      <c r="I212" s="49"/>
      <c r="J212" s="50"/>
      <c r="K212" s="51"/>
      <c r="L212" s="52">
        <f t="shared" si="60"/>
        <v>31</v>
      </c>
      <c r="M212" s="52">
        <f t="shared" si="60"/>
        <v>31</v>
      </c>
      <c r="N212" s="53"/>
      <c r="O212" s="170"/>
      <c r="P212" s="55">
        <f t="shared" si="56"/>
        <v>0</v>
      </c>
      <c r="Q212" s="171"/>
      <c r="R212" s="56" t="str">
        <f t="shared" si="58"/>
        <v/>
      </c>
      <c r="S212" s="57" t="str">
        <f t="shared" si="59"/>
        <v/>
      </c>
      <c r="T212" s="58"/>
    </row>
    <row r="213" spans="2:20" x14ac:dyDescent="0.35">
      <c r="B213" s="45" t="str">
        <f>IF(J213="","",RANK($J213,$J$9:$J$620,0)+COUNTIF($J$9:J213,$J213)-1)</f>
        <v/>
      </c>
      <c r="C213" s="46"/>
      <c r="D213" s="46"/>
      <c r="E213" s="46"/>
      <c r="F213" s="47" t="str">
        <f t="shared" si="57"/>
        <v>--</v>
      </c>
      <c r="G213" s="48"/>
      <c r="H213" s="169"/>
      <c r="I213" s="49"/>
      <c r="J213" s="50"/>
      <c r="K213" s="51"/>
      <c r="L213" s="52">
        <f t="shared" si="60"/>
        <v>31</v>
      </c>
      <c r="M213" s="52">
        <f t="shared" si="60"/>
        <v>31</v>
      </c>
      <c r="N213" s="53"/>
      <c r="O213" s="170"/>
      <c r="P213" s="55">
        <f t="shared" si="56"/>
        <v>0</v>
      </c>
      <c r="Q213" s="171"/>
      <c r="R213" s="56" t="str">
        <f t="shared" si="58"/>
        <v/>
      </c>
      <c r="S213" s="57" t="str">
        <f t="shared" si="59"/>
        <v/>
      </c>
      <c r="T213" s="58"/>
    </row>
    <row r="214" spans="2:20" x14ac:dyDescent="0.35">
      <c r="B214" s="45" t="str">
        <f>IF(J214="","",RANK($J214,$J$9:$J$620,0)+COUNTIF($J$9:J214,$J214)-1)</f>
        <v/>
      </c>
      <c r="C214" s="46"/>
      <c r="D214" s="46"/>
      <c r="E214" s="46"/>
      <c r="F214" s="47" t="str">
        <f t="shared" si="57"/>
        <v>--</v>
      </c>
      <c r="G214" s="48"/>
      <c r="H214" s="169"/>
      <c r="I214" s="49"/>
      <c r="J214" s="50"/>
      <c r="K214" s="51"/>
      <c r="L214" s="52">
        <f t="shared" si="60"/>
        <v>31</v>
      </c>
      <c r="M214" s="52">
        <f t="shared" si="60"/>
        <v>31</v>
      </c>
      <c r="N214" s="53"/>
      <c r="O214" s="170"/>
      <c r="P214" s="55">
        <f t="shared" si="56"/>
        <v>0</v>
      </c>
      <c r="Q214" s="171"/>
      <c r="R214" s="56" t="str">
        <f t="shared" si="58"/>
        <v/>
      </c>
      <c r="S214" s="57" t="str">
        <f t="shared" si="59"/>
        <v/>
      </c>
      <c r="T214" s="58"/>
    </row>
    <row r="215" spans="2:20" x14ac:dyDescent="0.35">
      <c r="B215" s="45" t="str">
        <f>IF(J215="","",RANK($J215,$J$9:$J$620,0)+COUNTIF($J$9:J215,$J215)-1)</f>
        <v/>
      </c>
      <c r="C215" s="46"/>
      <c r="D215" s="46"/>
      <c r="E215" s="46"/>
      <c r="F215" s="47" t="str">
        <f t="shared" si="57"/>
        <v>--</v>
      </c>
      <c r="G215" s="48"/>
      <c r="H215" s="169"/>
      <c r="I215" s="49"/>
      <c r="J215" s="50"/>
      <c r="K215" s="51"/>
      <c r="L215" s="52">
        <f t="shared" si="60"/>
        <v>31</v>
      </c>
      <c r="M215" s="52">
        <f t="shared" si="60"/>
        <v>31</v>
      </c>
      <c r="N215" s="53"/>
      <c r="O215" s="170"/>
      <c r="P215" s="55">
        <f t="shared" si="56"/>
        <v>0</v>
      </c>
      <c r="Q215" s="171"/>
      <c r="R215" s="56" t="str">
        <f t="shared" si="58"/>
        <v/>
      </c>
      <c r="S215" s="57" t="str">
        <f t="shared" si="59"/>
        <v/>
      </c>
      <c r="T215" s="58"/>
    </row>
    <row r="216" spans="2:20" x14ac:dyDescent="0.35">
      <c r="B216" s="45" t="str">
        <f>IF(J216="","",RANK($J216,$J$9:$J$620,0)+COUNTIF($J$9:J216,$J216)-1)</f>
        <v/>
      </c>
      <c r="C216" s="46"/>
      <c r="D216" s="46"/>
      <c r="E216" s="46"/>
      <c r="F216" s="47" t="str">
        <f t="shared" si="57"/>
        <v>--</v>
      </c>
      <c r="G216" s="48"/>
      <c r="H216" s="169"/>
      <c r="I216" s="49"/>
      <c r="J216" s="50"/>
      <c r="K216" s="51"/>
      <c r="L216" s="52">
        <f t="shared" si="60"/>
        <v>31</v>
      </c>
      <c r="M216" s="52">
        <f t="shared" si="60"/>
        <v>31</v>
      </c>
      <c r="N216" s="53"/>
      <c r="O216" s="170"/>
      <c r="P216" s="55">
        <f t="shared" si="56"/>
        <v>0</v>
      </c>
      <c r="Q216" s="171"/>
      <c r="R216" s="56" t="str">
        <f t="shared" si="58"/>
        <v/>
      </c>
      <c r="S216" s="57" t="str">
        <f t="shared" si="59"/>
        <v/>
      </c>
      <c r="T216" s="58"/>
    </row>
    <row r="217" spans="2:20" x14ac:dyDescent="0.35">
      <c r="B217" s="45" t="str">
        <f>IF(J217="","",RANK($J217,$J$9:$J$620,0)+COUNTIF($J$9:J217,$J217)-1)</f>
        <v/>
      </c>
      <c r="C217" s="46"/>
      <c r="D217" s="46"/>
      <c r="E217" s="46"/>
      <c r="F217" s="47" t="str">
        <f t="shared" si="57"/>
        <v>--</v>
      </c>
      <c r="G217" s="48"/>
      <c r="H217" s="169"/>
      <c r="I217" s="49"/>
      <c r="J217" s="50"/>
      <c r="K217" s="51"/>
      <c r="L217" s="52">
        <f t="shared" si="60"/>
        <v>31</v>
      </c>
      <c r="M217" s="52">
        <f t="shared" si="60"/>
        <v>31</v>
      </c>
      <c r="N217" s="53"/>
      <c r="O217" s="170"/>
      <c r="P217" s="55">
        <f t="shared" si="56"/>
        <v>0</v>
      </c>
      <c r="Q217" s="171"/>
      <c r="R217" s="56" t="str">
        <f t="shared" si="58"/>
        <v/>
      </c>
      <c r="S217" s="57" t="str">
        <f t="shared" si="59"/>
        <v/>
      </c>
      <c r="T217" s="58"/>
    </row>
    <row r="218" spans="2:20" x14ac:dyDescent="0.35">
      <c r="B218" s="45" t="str">
        <f>IF(J218="","",RANK($J218,$J$9:$J$620,0)+COUNTIF($J$9:J218,$J218)-1)</f>
        <v/>
      </c>
      <c r="C218" s="46"/>
      <c r="D218" s="46"/>
      <c r="E218" s="46"/>
      <c r="F218" s="47" t="str">
        <f t="shared" si="57"/>
        <v>--</v>
      </c>
      <c r="G218" s="48"/>
      <c r="H218" s="169"/>
      <c r="I218" s="49"/>
      <c r="J218" s="50"/>
      <c r="K218" s="51"/>
      <c r="L218" s="52">
        <f t="shared" si="60"/>
        <v>31</v>
      </c>
      <c r="M218" s="52">
        <f t="shared" si="60"/>
        <v>31</v>
      </c>
      <c r="N218" s="53"/>
      <c r="O218" s="170"/>
      <c r="P218" s="55">
        <f t="shared" si="56"/>
        <v>0</v>
      </c>
      <c r="Q218" s="171"/>
      <c r="R218" s="56" t="str">
        <f t="shared" si="58"/>
        <v/>
      </c>
      <c r="S218" s="57" t="str">
        <f t="shared" si="59"/>
        <v/>
      </c>
      <c r="T218" s="58"/>
    </row>
    <row r="219" spans="2:20" x14ac:dyDescent="0.35">
      <c r="B219" s="45" t="str">
        <f>IF(J219="","",RANK($J219,$J$9:$J$620,0)+COUNTIF($J$9:J219,$J219)-1)</f>
        <v/>
      </c>
      <c r="C219" s="46"/>
      <c r="D219" s="46"/>
      <c r="E219" s="46"/>
      <c r="F219" s="47" t="str">
        <f t="shared" si="57"/>
        <v>--</v>
      </c>
      <c r="G219" s="48"/>
      <c r="H219" s="169"/>
      <c r="I219" s="49"/>
      <c r="J219" s="50"/>
      <c r="K219" s="51"/>
      <c r="L219" s="52">
        <f t="shared" si="60"/>
        <v>31</v>
      </c>
      <c r="M219" s="52">
        <f t="shared" si="60"/>
        <v>31</v>
      </c>
      <c r="N219" s="53"/>
      <c r="O219" s="170"/>
      <c r="P219" s="55">
        <f t="shared" si="56"/>
        <v>0</v>
      </c>
      <c r="Q219" s="171"/>
      <c r="R219" s="56" t="str">
        <f t="shared" si="58"/>
        <v/>
      </c>
      <c r="S219" s="57" t="str">
        <f t="shared" si="59"/>
        <v/>
      </c>
      <c r="T219" s="58"/>
    </row>
    <row r="220" spans="2:20" x14ac:dyDescent="0.35">
      <c r="B220" s="45" t="str">
        <f>IF(J220="","",RANK($J220,$J$9:$J$620,0)+COUNTIF($J$9:J220,$J220)-1)</f>
        <v/>
      </c>
      <c r="C220" s="46"/>
      <c r="D220" s="46"/>
      <c r="E220" s="46"/>
      <c r="F220" s="47" t="str">
        <f t="shared" si="57"/>
        <v>--</v>
      </c>
      <c r="G220" s="48"/>
      <c r="H220" s="169"/>
      <c r="I220" s="49"/>
      <c r="J220" s="50"/>
      <c r="K220" s="51"/>
      <c r="L220" s="52">
        <f t="shared" si="60"/>
        <v>31</v>
      </c>
      <c r="M220" s="52">
        <f t="shared" si="60"/>
        <v>31</v>
      </c>
      <c r="N220" s="53"/>
      <c r="O220" s="170"/>
      <c r="P220" s="55">
        <f t="shared" si="56"/>
        <v>0</v>
      </c>
      <c r="Q220" s="171"/>
      <c r="R220" s="56" t="str">
        <f t="shared" si="58"/>
        <v/>
      </c>
      <c r="S220" s="57" t="str">
        <f t="shared" si="59"/>
        <v/>
      </c>
      <c r="T220" s="58"/>
    </row>
    <row r="221" spans="2:20" x14ac:dyDescent="0.35">
      <c r="B221" s="45" t="str">
        <f>IF(J221="","",RANK($J221,$J$9:$J$620,0)+COUNTIF($J$9:J221,$J221)-1)</f>
        <v/>
      </c>
      <c r="C221" s="46"/>
      <c r="D221" s="46"/>
      <c r="E221" s="46"/>
      <c r="F221" s="47" t="str">
        <f t="shared" si="57"/>
        <v>--</v>
      </c>
      <c r="G221" s="48"/>
      <c r="H221" s="169"/>
      <c r="I221" s="49"/>
      <c r="J221" s="50"/>
      <c r="K221" s="51"/>
      <c r="L221" s="52">
        <f t="shared" si="60"/>
        <v>31</v>
      </c>
      <c r="M221" s="52">
        <f t="shared" si="60"/>
        <v>31</v>
      </c>
      <c r="N221" s="53"/>
      <c r="O221" s="170"/>
      <c r="P221" s="55">
        <f t="shared" si="56"/>
        <v>0</v>
      </c>
      <c r="Q221" s="171"/>
      <c r="R221" s="56" t="str">
        <f t="shared" si="58"/>
        <v/>
      </c>
      <c r="S221" s="57" t="str">
        <f t="shared" si="59"/>
        <v/>
      </c>
      <c r="T221" s="58"/>
    </row>
    <row r="222" spans="2:20" x14ac:dyDescent="0.35">
      <c r="B222" s="45" t="str">
        <f>IF(J222="","",RANK($J222,$J$9:$J$620,0)+COUNTIF($J$9:J222,$J222)-1)</f>
        <v/>
      </c>
      <c r="C222" s="46"/>
      <c r="D222" s="46"/>
      <c r="E222" s="46"/>
      <c r="F222" s="47" t="str">
        <f t="shared" si="57"/>
        <v>--</v>
      </c>
      <c r="G222" s="48"/>
      <c r="H222" s="169"/>
      <c r="I222" s="49"/>
      <c r="J222" s="50"/>
      <c r="K222" s="51"/>
      <c r="L222" s="52">
        <f t="shared" si="60"/>
        <v>31</v>
      </c>
      <c r="M222" s="52">
        <f t="shared" si="60"/>
        <v>31</v>
      </c>
      <c r="N222" s="53"/>
      <c r="O222" s="170"/>
      <c r="P222" s="55">
        <f t="shared" si="56"/>
        <v>0</v>
      </c>
      <c r="Q222" s="171"/>
      <c r="R222" s="56" t="str">
        <f t="shared" si="58"/>
        <v/>
      </c>
      <c r="S222" s="57" t="str">
        <f t="shared" si="59"/>
        <v/>
      </c>
      <c r="T222" s="58"/>
    </row>
    <row r="223" spans="2:20" x14ac:dyDescent="0.35">
      <c r="B223" s="45" t="str">
        <f>IF(J223="","",RANK($J223,$J$9:$J$620,0)+COUNTIF($J$9:J223,$J223)-1)</f>
        <v/>
      </c>
      <c r="C223" s="46"/>
      <c r="D223" s="46"/>
      <c r="E223" s="46"/>
      <c r="F223" s="47" t="str">
        <f t="shared" si="57"/>
        <v>--</v>
      </c>
      <c r="G223" s="48"/>
      <c r="H223" s="169"/>
      <c r="I223" s="49"/>
      <c r="J223" s="50"/>
      <c r="K223" s="51"/>
      <c r="L223" s="52">
        <f t="shared" si="60"/>
        <v>31</v>
      </c>
      <c r="M223" s="52">
        <f t="shared" si="60"/>
        <v>31</v>
      </c>
      <c r="N223" s="53"/>
      <c r="O223" s="170"/>
      <c r="P223" s="55">
        <f t="shared" si="56"/>
        <v>0</v>
      </c>
      <c r="Q223" s="171"/>
      <c r="R223" s="56" t="str">
        <f t="shared" si="58"/>
        <v/>
      </c>
      <c r="S223" s="57" t="str">
        <f t="shared" si="59"/>
        <v/>
      </c>
      <c r="T223" s="58"/>
    </row>
    <row r="224" spans="2:20" x14ac:dyDescent="0.35">
      <c r="B224" s="45" t="str">
        <f>IF(J224="","",RANK($J224,$J$9:$J$620,0)+COUNTIF($J$9:J224,$J224)-1)</f>
        <v/>
      </c>
      <c r="C224" s="46"/>
      <c r="D224" s="46"/>
      <c r="E224" s="46"/>
      <c r="F224" s="47" t="str">
        <f t="shared" si="57"/>
        <v>--</v>
      </c>
      <c r="G224" s="48"/>
      <c r="H224" s="169"/>
      <c r="I224" s="49"/>
      <c r="J224" s="50"/>
      <c r="K224" s="51"/>
      <c r="L224" s="52">
        <f t="shared" si="60"/>
        <v>31</v>
      </c>
      <c r="M224" s="52">
        <f t="shared" si="60"/>
        <v>31</v>
      </c>
      <c r="N224" s="53"/>
      <c r="O224" s="170"/>
      <c r="P224" s="55">
        <f t="shared" si="56"/>
        <v>0</v>
      </c>
      <c r="Q224" s="171"/>
      <c r="R224" s="56" t="str">
        <f t="shared" si="58"/>
        <v/>
      </c>
      <c r="S224" s="57" t="str">
        <f t="shared" si="59"/>
        <v/>
      </c>
      <c r="T224" s="58"/>
    </row>
    <row r="225" spans="2:20" x14ac:dyDescent="0.35">
      <c r="B225" s="45" t="str">
        <f>IF(J225="","",RANK($J225,$J$9:$J$620,0)+COUNTIF($J$9:J225,$J225)-1)</f>
        <v/>
      </c>
      <c r="C225" s="46"/>
      <c r="D225" s="46"/>
      <c r="E225" s="46"/>
      <c r="F225" s="47" t="str">
        <f t="shared" si="57"/>
        <v>--</v>
      </c>
      <c r="G225" s="48"/>
      <c r="H225" s="169"/>
      <c r="I225" s="49"/>
      <c r="J225" s="50"/>
      <c r="K225" s="51"/>
      <c r="L225" s="52">
        <f t="shared" si="60"/>
        <v>31</v>
      </c>
      <c r="M225" s="52">
        <f t="shared" si="60"/>
        <v>31</v>
      </c>
      <c r="N225" s="53"/>
      <c r="O225" s="170"/>
      <c r="P225" s="55">
        <f t="shared" si="56"/>
        <v>0</v>
      </c>
      <c r="Q225" s="171"/>
      <c r="R225" s="56" t="str">
        <f t="shared" si="58"/>
        <v/>
      </c>
      <c r="S225" s="57" t="str">
        <f t="shared" si="59"/>
        <v/>
      </c>
      <c r="T225" s="58"/>
    </row>
    <row r="226" spans="2:20" x14ac:dyDescent="0.35">
      <c r="B226" s="45" t="str">
        <f>IF(J226="","",RANK($J226,$J$9:$J$620,0)+COUNTIF($J$9:J226,$J226)-1)</f>
        <v/>
      </c>
      <c r="C226" s="46"/>
      <c r="D226" s="46"/>
      <c r="E226" s="46"/>
      <c r="F226" s="47" t="str">
        <f t="shared" si="57"/>
        <v>--</v>
      </c>
      <c r="G226" s="48"/>
      <c r="H226" s="169"/>
      <c r="I226" s="49"/>
      <c r="J226" s="50"/>
      <c r="K226" s="51"/>
      <c r="L226" s="52">
        <f t="shared" si="60"/>
        <v>31</v>
      </c>
      <c r="M226" s="52">
        <f t="shared" si="60"/>
        <v>31</v>
      </c>
      <c r="N226" s="53"/>
      <c r="O226" s="170"/>
      <c r="P226" s="55">
        <f t="shared" si="56"/>
        <v>0</v>
      </c>
      <c r="Q226" s="171"/>
      <c r="R226" s="56" t="str">
        <f t="shared" si="58"/>
        <v/>
      </c>
      <c r="S226" s="57" t="str">
        <f t="shared" si="59"/>
        <v/>
      </c>
      <c r="T226" s="58"/>
    </row>
    <row r="227" spans="2:20" x14ac:dyDescent="0.35">
      <c r="B227" s="45" t="str">
        <f>IF(J227="","",RANK($J227,$J$9:$J$620,0)+COUNTIF($J$9:J227,$J227)-1)</f>
        <v/>
      </c>
      <c r="C227" s="46"/>
      <c r="D227" s="46"/>
      <c r="E227" s="46"/>
      <c r="F227" s="47" t="str">
        <f t="shared" si="57"/>
        <v>--</v>
      </c>
      <c r="G227" s="48"/>
      <c r="H227" s="169"/>
      <c r="I227" s="49"/>
      <c r="J227" s="50"/>
      <c r="K227" s="51"/>
      <c r="L227" s="52">
        <f t="shared" si="60"/>
        <v>31</v>
      </c>
      <c r="M227" s="52">
        <f t="shared" si="60"/>
        <v>31</v>
      </c>
      <c r="N227" s="53"/>
      <c r="O227" s="170"/>
      <c r="P227" s="55">
        <f t="shared" si="56"/>
        <v>0</v>
      </c>
      <c r="Q227" s="171"/>
      <c r="R227" s="56" t="str">
        <f t="shared" si="58"/>
        <v/>
      </c>
      <c r="S227" s="57" t="str">
        <f t="shared" si="59"/>
        <v/>
      </c>
      <c r="T227" s="58"/>
    </row>
    <row r="228" spans="2:20" x14ac:dyDescent="0.35">
      <c r="B228" s="45" t="str">
        <f>IF(J228="","",RANK($J228,$J$9:$J$620,0)+COUNTIF($J$9:J228,$J228)-1)</f>
        <v/>
      </c>
      <c r="C228" s="46"/>
      <c r="D228" s="46"/>
      <c r="E228" s="46"/>
      <c r="F228" s="47" t="str">
        <f t="shared" si="57"/>
        <v>--</v>
      </c>
      <c r="G228" s="48"/>
      <c r="H228" s="169"/>
      <c r="I228" s="49"/>
      <c r="J228" s="50"/>
      <c r="K228" s="51"/>
      <c r="L228" s="52">
        <f t="shared" si="60"/>
        <v>31</v>
      </c>
      <c r="M228" s="52">
        <f t="shared" si="60"/>
        <v>31</v>
      </c>
      <c r="N228" s="53"/>
      <c r="O228" s="170"/>
      <c r="P228" s="55">
        <f t="shared" si="56"/>
        <v>0</v>
      </c>
      <c r="Q228" s="171"/>
      <c r="R228" s="56" t="str">
        <f t="shared" si="58"/>
        <v/>
      </c>
      <c r="S228" s="57" t="str">
        <f t="shared" si="59"/>
        <v/>
      </c>
      <c r="T228" s="58"/>
    </row>
    <row r="229" spans="2:20" x14ac:dyDescent="0.35">
      <c r="B229" s="45" t="str">
        <f>IF(J229="","",RANK($J229,$J$9:$J$620,0)+COUNTIF($J$9:J229,$J229)-1)</f>
        <v/>
      </c>
      <c r="C229" s="46"/>
      <c r="D229" s="46"/>
      <c r="E229" s="46"/>
      <c r="F229" s="47" t="str">
        <f t="shared" si="57"/>
        <v>--</v>
      </c>
      <c r="G229" s="48"/>
      <c r="H229" s="169"/>
      <c r="I229" s="49"/>
      <c r="J229" s="50"/>
      <c r="K229" s="51"/>
      <c r="L229" s="52">
        <f t="shared" si="60"/>
        <v>31</v>
      </c>
      <c r="M229" s="52">
        <f t="shared" si="60"/>
        <v>31</v>
      </c>
      <c r="N229" s="53"/>
      <c r="O229" s="170"/>
      <c r="P229" s="55">
        <f t="shared" si="56"/>
        <v>0</v>
      </c>
      <c r="Q229" s="171"/>
      <c r="R229" s="56" t="str">
        <f t="shared" si="58"/>
        <v/>
      </c>
      <c r="S229" s="57" t="str">
        <f t="shared" si="59"/>
        <v/>
      </c>
      <c r="T229" s="58"/>
    </row>
    <row r="230" spans="2:20" x14ac:dyDescent="0.35">
      <c r="B230" s="45" t="str">
        <f>IF(J230="","",RANK($J230,$J$9:$J$620,0)+COUNTIF($J$9:J230,$J230)-1)</f>
        <v/>
      </c>
      <c r="C230" s="46"/>
      <c r="D230" s="46"/>
      <c r="E230" s="46"/>
      <c r="F230" s="47" t="str">
        <f t="shared" si="57"/>
        <v>--</v>
      </c>
      <c r="G230" s="48"/>
      <c r="H230" s="169"/>
      <c r="I230" s="49"/>
      <c r="J230" s="50"/>
      <c r="K230" s="51"/>
      <c r="L230" s="52">
        <f t="shared" si="60"/>
        <v>31</v>
      </c>
      <c r="M230" s="52">
        <f t="shared" si="60"/>
        <v>31</v>
      </c>
      <c r="N230" s="53"/>
      <c r="O230" s="170"/>
      <c r="P230" s="55">
        <f t="shared" si="56"/>
        <v>0</v>
      </c>
      <c r="Q230" s="171"/>
      <c r="R230" s="56" t="str">
        <f t="shared" si="58"/>
        <v/>
      </c>
      <c r="S230" s="57" t="str">
        <f t="shared" si="59"/>
        <v/>
      </c>
      <c r="T230" s="58"/>
    </row>
    <row r="231" spans="2:20" x14ac:dyDescent="0.35">
      <c r="B231" s="45" t="str">
        <f>IF(J231="","",RANK($J231,$J$9:$J$620,0)+COUNTIF($J$9:J231,$J231)-1)</f>
        <v/>
      </c>
      <c r="C231" s="46"/>
      <c r="D231" s="46"/>
      <c r="E231" s="46"/>
      <c r="F231" s="47" t="str">
        <f t="shared" si="57"/>
        <v>--</v>
      </c>
      <c r="G231" s="48"/>
      <c r="H231" s="169"/>
      <c r="I231" s="49"/>
      <c r="J231" s="50"/>
      <c r="K231" s="51"/>
      <c r="L231" s="52">
        <f t="shared" si="60"/>
        <v>31</v>
      </c>
      <c r="M231" s="52">
        <f t="shared" si="60"/>
        <v>31</v>
      </c>
      <c r="N231" s="53"/>
      <c r="O231" s="170"/>
      <c r="P231" s="55">
        <f t="shared" si="56"/>
        <v>0</v>
      </c>
      <c r="Q231" s="171"/>
      <c r="R231" s="56" t="str">
        <f t="shared" si="58"/>
        <v/>
      </c>
      <c r="S231" s="57" t="str">
        <f t="shared" si="59"/>
        <v/>
      </c>
      <c r="T231" s="58"/>
    </row>
    <row r="232" spans="2:20" x14ac:dyDescent="0.35">
      <c r="B232" s="45" t="str">
        <f>IF(J232="","",RANK($J232,$J$9:$J$620,0)+COUNTIF($J$9:J232,$J232)-1)</f>
        <v/>
      </c>
      <c r="C232" s="46"/>
      <c r="D232" s="46"/>
      <c r="E232" s="46"/>
      <c r="F232" s="47" t="str">
        <f t="shared" si="57"/>
        <v>--</v>
      </c>
      <c r="G232" s="48"/>
      <c r="H232" s="169"/>
      <c r="I232" s="49"/>
      <c r="J232" s="50"/>
      <c r="K232" s="51"/>
      <c r="L232" s="52">
        <f t="shared" si="60"/>
        <v>31</v>
      </c>
      <c r="M232" s="52">
        <f t="shared" si="60"/>
        <v>31</v>
      </c>
      <c r="N232" s="53"/>
      <c r="O232" s="170"/>
      <c r="P232" s="55">
        <f t="shared" si="56"/>
        <v>0</v>
      </c>
      <c r="Q232" s="171"/>
      <c r="R232" s="56" t="str">
        <f t="shared" si="58"/>
        <v/>
      </c>
      <c r="S232" s="57" t="str">
        <f t="shared" si="59"/>
        <v/>
      </c>
      <c r="T232" s="58"/>
    </row>
    <row r="233" spans="2:20" x14ac:dyDescent="0.35">
      <c r="B233" s="45" t="str">
        <f>IF(J233="","",RANK($J233,$J$9:$J$620,0)+COUNTIF($J$9:J233,$J233)-1)</f>
        <v/>
      </c>
      <c r="C233" s="46"/>
      <c r="D233" s="46"/>
      <c r="E233" s="46"/>
      <c r="F233" s="47" t="str">
        <f t="shared" si="57"/>
        <v>--</v>
      </c>
      <c r="G233" s="48"/>
      <c r="H233" s="46"/>
      <c r="I233" s="49"/>
      <c r="J233" s="50"/>
      <c r="K233" s="51"/>
      <c r="L233" s="52">
        <f t="shared" si="60"/>
        <v>31</v>
      </c>
      <c r="M233" s="52">
        <f t="shared" si="60"/>
        <v>31</v>
      </c>
      <c r="N233" s="53"/>
      <c r="O233" s="170"/>
      <c r="P233" s="55">
        <f t="shared" si="56"/>
        <v>0</v>
      </c>
      <c r="Q233" s="171"/>
      <c r="R233" s="56" t="str">
        <f t="shared" si="58"/>
        <v/>
      </c>
      <c r="S233" s="57" t="str">
        <f t="shared" si="59"/>
        <v/>
      </c>
      <c r="T233" s="58"/>
    </row>
    <row r="234" spans="2:20" x14ac:dyDescent="0.35">
      <c r="B234" s="45" t="str">
        <f>IF(J234="","",RANK($J234,$J$9:$J$620,0)+COUNTIF($J$9:J234,$J234)-1)</f>
        <v/>
      </c>
      <c r="C234" s="46"/>
      <c r="D234" s="46"/>
      <c r="E234" s="46"/>
      <c r="F234" s="47" t="str">
        <f t="shared" si="57"/>
        <v>--</v>
      </c>
      <c r="G234" s="48"/>
      <c r="H234" s="46"/>
      <c r="I234" s="49"/>
      <c r="J234" s="50"/>
      <c r="K234" s="51"/>
      <c r="L234" s="52">
        <f t="shared" si="60"/>
        <v>31</v>
      </c>
      <c r="M234" s="52">
        <f t="shared" si="60"/>
        <v>31</v>
      </c>
      <c r="N234" s="53"/>
      <c r="O234" s="170"/>
      <c r="P234" s="55">
        <f t="shared" si="56"/>
        <v>0</v>
      </c>
      <c r="Q234" s="171"/>
      <c r="R234" s="56" t="str">
        <f t="shared" si="58"/>
        <v/>
      </c>
      <c r="S234" s="57" t="str">
        <f t="shared" si="59"/>
        <v/>
      </c>
      <c r="T234" s="58"/>
    </row>
    <row r="235" spans="2:20" x14ac:dyDescent="0.35">
      <c r="B235" s="45" t="str">
        <f>IF(J235="","",RANK($J235,$J$9:$J$620,0)+COUNTIF($J$9:J235,$J235)-1)</f>
        <v/>
      </c>
      <c r="C235" s="46"/>
      <c r="D235" s="46"/>
      <c r="E235" s="46"/>
      <c r="F235" s="47" t="str">
        <f t="shared" si="57"/>
        <v>--</v>
      </c>
      <c r="G235" s="48"/>
      <c r="H235" s="46"/>
      <c r="I235" s="49"/>
      <c r="J235" s="50"/>
      <c r="K235" s="51"/>
      <c r="L235" s="52">
        <f t="shared" si="60"/>
        <v>31</v>
      </c>
      <c r="M235" s="52">
        <f t="shared" si="60"/>
        <v>31</v>
      </c>
      <c r="N235" s="53"/>
      <c r="O235" s="170"/>
      <c r="P235" s="55">
        <f t="shared" si="56"/>
        <v>0</v>
      </c>
      <c r="Q235" s="171"/>
      <c r="R235" s="56" t="str">
        <f t="shared" si="58"/>
        <v/>
      </c>
      <c r="S235" s="57" t="str">
        <f t="shared" si="59"/>
        <v/>
      </c>
      <c r="T235" s="58"/>
    </row>
    <row r="236" spans="2:20" x14ac:dyDescent="0.35">
      <c r="B236" s="45" t="str">
        <f>IF(J236="","",RANK($J236,$J$9:$J$620,0)+COUNTIF($J$9:J236,$J236)-1)</f>
        <v/>
      </c>
      <c r="C236" s="46"/>
      <c r="D236" s="46"/>
      <c r="E236" s="46"/>
      <c r="F236" s="47" t="str">
        <f t="shared" si="57"/>
        <v>--</v>
      </c>
      <c r="G236" s="48"/>
      <c r="H236" s="46"/>
      <c r="I236" s="49"/>
      <c r="J236" s="50"/>
      <c r="K236" s="51"/>
      <c r="L236" s="52">
        <f t="shared" si="60"/>
        <v>31</v>
      </c>
      <c r="M236" s="52">
        <f t="shared" si="60"/>
        <v>31</v>
      </c>
      <c r="N236" s="53"/>
      <c r="O236" s="170"/>
      <c r="P236" s="55">
        <f t="shared" si="56"/>
        <v>0</v>
      </c>
      <c r="Q236" s="171"/>
      <c r="R236" s="56" t="str">
        <f t="shared" si="58"/>
        <v/>
      </c>
      <c r="S236" s="57" t="str">
        <f t="shared" si="59"/>
        <v/>
      </c>
      <c r="T236" s="58"/>
    </row>
    <row r="237" spans="2:20" x14ac:dyDescent="0.35">
      <c r="B237" s="45" t="str">
        <f>IF(J237="","",RANK($J237,$J$9:$J$620,0)+COUNTIF($J$9:J237,$J237)-1)</f>
        <v/>
      </c>
      <c r="C237" s="46"/>
      <c r="D237" s="46"/>
      <c r="E237" s="46"/>
      <c r="F237" s="47" t="str">
        <f t="shared" si="57"/>
        <v>--</v>
      </c>
      <c r="G237" s="48"/>
      <c r="H237" s="46"/>
      <c r="I237" s="49"/>
      <c r="J237" s="50"/>
      <c r="K237" s="51"/>
      <c r="L237" s="52">
        <f t="shared" si="60"/>
        <v>31</v>
      </c>
      <c r="M237" s="52">
        <f t="shared" si="60"/>
        <v>31</v>
      </c>
      <c r="N237" s="53"/>
      <c r="O237" s="170"/>
      <c r="P237" s="55">
        <f t="shared" si="56"/>
        <v>0</v>
      </c>
      <c r="Q237" s="171"/>
      <c r="R237" s="56" t="str">
        <f t="shared" si="58"/>
        <v/>
      </c>
      <c r="S237" s="57" t="str">
        <f t="shared" si="59"/>
        <v/>
      </c>
      <c r="T237" s="58"/>
    </row>
    <row r="238" spans="2:20" x14ac:dyDescent="0.35">
      <c r="B238" s="45" t="str">
        <f>IF(J238="","",RANK($J238,$J$9:$J$620,0)+COUNTIF($J$9:J238,$J238)-1)</f>
        <v/>
      </c>
      <c r="C238" s="46"/>
      <c r="D238" s="46"/>
      <c r="E238" s="46"/>
      <c r="F238" s="47" t="str">
        <f t="shared" si="57"/>
        <v>--</v>
      </c>
      <c r="G238" s="48"/>
      <c r="H238" s="46"/>
      <c r="I238" s="49"/>
      <c r="J238" s="50"/>
      <c r="K238" s="51"/>
      <c r="L238" s="52">
        <f t="shared" si="60"/>
        <v>31</v>
      </c>
      <c r="M238" s="52">
        <f t="shared" si="60"/>
        <v>31</v>
      </c>
      <c r="N238" s="53"/>
      <c r="O238" s="170"/>
      <c r="P238" s="55">
        <f t="shared" si="56"/>
        <v>0</v>
      </c>
      <c r="Q238" s="171"/>
      <c r="R238" s="56" t="str">
        <f t="shared" si="58"/>
        <v/>
      </c>
      <c r="S238" s="57" t="str">
        <f t="shared" si="59"/>
        <v/>
      </c>
      <c r="T238" s="58"/>
    </row>
    <row r="239" spans="2:20" x14ac:dyDescent="0.35">
      <c r="B239" s="45" t="str">
        <f>IF(J239="","",RANK($J239,$J$9:$J$620,0)+COUNTIF($J$9:J239,$J239)-1)</f>
        <v/>
      </c>
      <c r="C239" s="46"/>
      <c r="D239" s="46"/>
      <c r="E239" s="46"/>
      <c r="F239" s="47" t="str">
        <f t="shared" si="57"/>
        <v>--</v>
      </c>
      <c r="G239" s="48"/>
      <c r="H239" s="46"/>
      <c r="I239" s="49"/>
      <c r="J239" s="50"/>
      <c r="K239" s="51"/>
      <c r="L239" s="52">
        <f t="shared" si="60"/>
        <v>31</v>
      </c>
      <c r="M239" s="52">
        <f t="shared" si="60"/>
        <v>31</v>
      </c>
      <c r="N239" s="53"/>
      <c r="O239" s="170"/>
      <c r="P239" s="55">
        <f t="shared" si="56"/>
        <v>0</v>
      </c>
      <c r="Q239" s="171"/>
      <c r="R239" s="56" t="str">
        <f t="shared" si="58"/>
        <v/>
      </c>
      <c r="S239" s="57" t="str">
        <f t="shared" si="59"/>
        <v/>
      </c>
      <c r="T239" s="58"/>
    </row>
    <row r="240" spans="2:20" x14ac:dyDescent="0.35">
      <c r="B240" s="45" t="str">
        <f>IF(J240="","",RANK($J240,$J$9:$J$620,0)+COUNTIF($J$9:J240,$J240)-1)</f>
        <v/>
      </c>
      <c r="C240" s="46"/>
      <c r="D240" s="46"/>
      <c r="E240" s="46"/>
      <c r="F240" s="47" t="str">
        <f t="shared" si="57"/>
        <v>--</v>
      </c>
      <c r="G240" s="48"/>
      <c r="H240" s="46"/>
      <c r="I240" s="49"/>
      <c r="J240" s="50"/>
      <c r="K240" s="51"/>
      <c r="L240" s="52">
        <f t="shared" si="60"/>
        <v>31</v>
      </c>
      <c r="M240" s="52">
        <f t="shared" si="60"/>
        <v>31</v>
      </c>
      <c r="N240" s="53"/>
      <c r="O240" s="170"/>
      <c r="P240" s="55">
        <f t="shared" si="56"/>
        <v>0</v>
      </c>
      <c r="Q240" s="171"/>
      <c r="R240" s="56" t="str">
        <f t="shared" si="58"/>
        <v/>
      </c>
      <c r="S240" s="57" t="str">
        <f t="shared" si="59"/>
        <v/>
      </c>
      <c r="T240" s="58"/>
    </row>
    <row r="241" spans="2:20" x14ac:dyDescent="0.35">
      <c r="B241" s="45" t="str">
        <f>IF(J241="","",RANK($J241,$J$9:$J$620,0)+COUNTIF($J$9:J241,$J241)-1)</f>
        <v/>
      </c>
      <c r="C241" s="46"/>
      <c r="D241" s="46"/>
      <c r="E241" s="46"/>
      <c r="F241" s="47" t="str">
        <f t="shared" si="57"/>
        <v>--</v>
      </c>
      <c r="G241" s="48"/>
      <c r="H241" s="46"/>
      <c r="I241" s="49"/>
      <c r="J241" s="50"/>
      <c r="K241" s="51"/>
      <c r="L241" s="52">
        <f t="shared" si="60"/>
        <v>31</v>
      </c>
      <c r="M241" s="52">
        <f t="shared" si="60"/>
        <v>31</v>
      </c>
      <c r="N241" s="53"/>
      <c r="O241" s="170"/>
      <c r="P241" s="55">
        <f t="shared" si="56"/>
        <v>0</v>
      </c>
      <c r="Q241" s="171"/>
      <c r="R241" s="56" t="str">
        <f t="shared" si="58"/>
        <v/>
      </c>
      <c r="S241" s="57" t="str">
        <f t="shared" si="59"/>
        <v/>
      </c>
      <c r="T241" s="58"/>
    </row>
    <row r="242" spans="2:20" x14ac:dyDescent="0.35">
      <c r="B242" s="45" t="str">
        <f>IF(J242="","",RANK($J242,$J$9:$J$620,0)+COUNTIF($J$9:J242,$J242)-1)</f>
        <v/>
      </c>
      <c r="C242" s="46"/>
      <c r="D242" s="46"/>
      <c r="E242" s="46"/>
      <c r="F242" s="47" t="str">
        <f t="shared" si="57"/>
        <v>--</v>
      </c>
      <c r="G242" s="48"/>
      <c r="H242" s="46"/>
      <c r="I242" s="49"/>
      <c r="J242" s="50"/>
      <c r="K242" s="51"/>
      <c r="L242" s="52">
        <f t="shared" si="60"/>
        <v>31</v>
      </c>
      <c r="M242" s="52">
        <f t="shared" si="60"/>
        <v>31</v>
      </c>
      <c r="N242" s="53"/>
      <c r="O242" s="170"/>
      <c r="P242" s="55">
        <f t="shared" si="56"/>
        <v>0</v>
      </c>
      <c r="Q242" s="171"/>
      <c r="R242" s="56" t="str">
        <f t="shared" si="58"/>
        <v/>
      </c>
      <c r="S242" s="57" t="str">
        <f t="shared" si="59"/>
        <v/>
      </c>
      <c r="T242" s="58"/>
    </row>
    <row r="243" spans="2:20" x14ac:dyDescent="0.35">
      <c r="B243" s="45" t="str">
        <f>IF(J243="","",RANK($J243,$J$9:$J$620,0)+COUNTIF($J$9:J243,$J243)-1)</f>
        <v/>
      </c>
      <c r="C243" s="46"/>
      <c r="D243" s="46"/>
      <c r="E243" s="46"/>
      <c r="F243" s="47" t="str">
        <f t="shared" si="57"/>
        <v>--</v>
      </c>
      <c r="G243" s="48"/>
      <c r="H243" s="46"/>
      <c r="I243" s="49"/>
      <c r="J243" s="50"/>
      <c r="K243" s="51"/>
      <c r="L243" s="52">
        <f t="shared" si="60"/>
        <v>31</v>
      </c>
      <c r="M243" s="52">
        <f t="shared" si="60"/>
        <v>31</v>
      </c>
      <c r="N243" s="53"/>
      <c r="O243" s="170"/>
      <c r="P243" s="55">
        <f t="shared" si="56"/>
        <v>0</v>
      </c>
      <c r="Q243" s="171"/>
      <c r="R243" s="56" t="str">
        <f t="shared" si="58"/>
        <v/>
      </c>
      <c r="S243" s="57" t="str">
        <f t="shared" si="59"/>
        <v/>
      </c>
      <c r="T243" s="58"/>
    </row>
    <row r="244" spans="2:20" x14ac:dyDescent="0.35">
      <c r="B244" s="45" t="str">
        <f>IF(J244="","",RANK($J244,$J$9:$J$620,0)+COUNTIF($J$9:J244,$J244)-1)</f>
        <v/>
      </c>
      <c r="C244" s="46"/>
      <c r="D244" s="46"/>
      <c r="E244" s="46"/>
      <c r="F244" s="47" t="str">
        <f t="shared" si="57"/>
        <v>--</v>
      </c>
      <c r="G244" s="48"/>
      <c r="H244" s="46"/>
      <c r="I244" s="49"/>
      <c r="J244" s="50"/>
      <c r="K244" s="51"/>
      <c r="L244" s="52">
        <f t="shared" si="60"/>
        <v>31</v>
      </c>
      <c r="M244" s="52">
        <f t="shared" si="60"/>
        <v>31</v>
      </c>
      <c r="N244" s="53"/>
      <c r="O244" s="170"/>
      <c r="P244" s="55">
        <f t="shared" si="56"/>
        <v>0</v>
      </c>
      <c r="Q244" s="171"/>
      <c r="R244" s="56" t="str">
        <f t="shared" si="58"/>
        <v/>
      </c>
      <c r="S244" s="57" t="str">
        <f t="shared" si="59"/>
        <v/>
      </c>
      <c r="T244" s="58"/>
    </row>
    <row r="245" spans="2:20" x14ac:dyDescent="0.35">
      <c r="B245" s="45" t="str">
        <f>IF(J245="","",RANK($J245,$J$9:$J$620,0)+COUNTIF($J$9:J245,$J245)-1)</f>
        <v/>
      </c>
      <c r="C245" s="46"/>
      <c r="D245" s="46"/>
      <c r="E245" s="46"/>
      <c r="F245" s="47" t="str">
        <f t="shared" si="57"/>
        <v>--</v>
      </c>
      <c r="G245" s="48"/>
      <c r="H245" s="46"/>
      <c r="I245" s="49"/>
      <c r="J245" s="50"/>
      <c r="K245" s="51"/>
      <c r="L245" s="52">
        <f t="shared" si="60"/>
        <v>31</v>
      </c>
      <c r="M245" s="52">
        <f t="shared" si="60"/>
        <v>31</v>
      </c>
      <c r="N245" s="53"/>
      <c r="O245" s="170"/>
      <c r="P245" s="55">
        <f t="shared" si="56"/>
        <v>0</v>
      </c>
      <c r="Q245" s="171"/>
      <c r="R245" s="56" t="str">
        <f t="shared" si="58"/>
        <v/>
      </c>
      <c r="S245" s="57" t="str">
        <f t="shared" si="59"/>
        <v/>
      </c>
      <c r="T245" s="58"/>
    </row>
    <row r="246" spans="2:20" x14ac:dyDescent="0.35">
      <c r="B246" s="45" t="str">
        <f>IF(J246="","",RANK($J246,$J$9:$J$620,0)+COUNTIF($J$9:J246,$J246)-1)</f>
        <v/>
      </c>
      <c r="C246" s="46"/>
      <c r="D246" s="46"/>
      <c r="E246" s="46"/>
      <c r="F246" s="47" t="str">
        <f t="shared" si="57"/>
        <v>--</v>
      </c>
      <c r="G246" s="48"/>
      <c r="H246" s="46"/>
      <c r="I246" s="49"/>
      <c r="J246" s="50"/>
      <c r="K246" s="51"/>
      <c r="L246" s="52">
        <f t="shared" si="60"/>
        <v>31</v>
      </c>
      <c r="M246" s="52">
        <f t="shared" si="60"/>
        <v>31</v>
      </c>
      <c r="N246" s="53"/>
      <c r="O246" s="170"/>
      <c r="P246" s="55">
        <f t="shared" si="56"/>
        <v>0</v>
      </c>
      <c r="Q246" s="171"/>
      <c r="R246" s="56" t="str">
        <f t="shared" si="58"/>
        <v/>
      </c>
      <c r="S246" s="57" t="str">
        <f t="shared" si="59"/>
        <v/>
      </c>
      <c r="T246" s="58"/>
    </row>
    <row r="247" spans="2:20" x14ac:dyDescent="0.35">
      <c r="B247" s="45" t="str">
        <f>IF(J247="","",RANK($J247,$J$9:$J$620,0)+COUNTIF($J$9:J247,$J247)-1)</f>
        <v/>
      </c>
      <c r="C247" s="46"/>
      <c r="D247" s="46"/>
      <c r="E247" s="46"/>
      <c r="F247" s="47" t="str">
        <f t="shared" si="57"/>
        <v>--</v>
      </c>
      <c r="G247" s="48"/>
      <c r="H247" s="46"/>
      <c r="I247" s="49"/>
      <c r="J247" s="50"/>
      <c r="K247" s="51"/>
      <c r="L247" s="52">
        <f t="shared" si="60"/>
        <v>31</v>
      </c>
      <c r="M247" s="52">
        <f t="shared" si="60"/>
        <v>31</v>
      </c>
      <c r="N247" s="53"/>
      <c r="O247" s="170"/>
      <c r="P247" s="55">
        <f t="shared" si="56"/>
        <v>0</v>
      </c>
      <c r="Q247" s="171"/>
      <c r="R247" s="56" t="str">
        <f t="shared" si="58"/>
        <v/>
      </c>
      <c r="S247" s="57" t="str">
        <f t="shared" si="59"/>
        <v/>
      </c>
      <c r="T247" s="58"/>
    </row>
    <row r="248" spans="2:20" x14ac:dyDescent="0.35">
      <c r="B248" s="45" t="str">
        <f>IF(J248="","",RANK($J248,$J$9:$J$620,0)+COUNTIF($J$9:J248,$J248)-1)</f>
        <v/>
      </c>
      <c r="C248" s="46"/>
      <c r="D248" s="46"/>
      <c r="E248" s="46"/>
      <c r="F248" s="47" t="str">
        <f t="shared" si="57"/>
        <v>--</v>
      </c>
      <c r="G248" s="48"/>
      <c r="H248" s="46"/>
      <c r="I248" s="49"/>
      <c r="J248" s="50"/>
      <c r="K248" s="51"/>
      <c r="L248" s="52">
        <f t="shared" si="60"/>
        <v>31</v>
      </c>
      <c r="M248" s="52">
        <f t="shared" si="60"/>
        <v>31</v>
      </c>
      <c r="N248" s="53"/>
      <c r="O248" s="170"/>
      <c r="P248" s="55">
        <f t="shared" si="56"/>
        <v>0</v>
      </c>
      <c r="Q248" s="171"/>
      <c r="R248" s="56" t="str">
        <f t="shared" si="58"/>
        <v/>
      </c>
      <c r="S248" s="57" t="str">
        <f t="shared" si="59"/>
        <v/>
      </c>
      <c r="T248" s="58"/>
    </row>
    <row r="249" spans="2:20" x14ac:dyDescent="0.35">
      <c r="B249" s="45" t="str">
        <f>IF(J249="","",RANK($J249,$J$9:$J$620,0)+COUNTIF($J$9:J249,$J249)-1)</f>
        <v/>
      </c>
      <c r="C249" s="46"/>
      <c r="D249" s="46"/>
      <c r="E249" s="46"/>
      <c r="F249" s="47" t="str">
        <f t="shared" si="57"/>
        <v>--</v>
      </c>
      <c r="G249" s="48"/>
      <c r="H249" s="46"/>
      <c r="I249" s="49"/>
      <c r="J249" s="50"/>
      <c r="K249" s="51"/>
      <c r="L249" s="52">
        <f t="shared" si="60"/>
        <v>31</v>
      </c>
      <c r="M249" s="52">
        <f t="shared" si="60"/>
        <v>31</v>
      </c>
      <c r="N249" s="53"/>
      <c r="O249" s="170"/>
      <c r="P249" s="55">
        <f t="shared" si="56"/>
        <v>0</v>
      </c>
      <c r="Q249" s="171"/>
      <c r="R249" s="56" t="str">
        <f t="shared" si="58"/>
        <v/>
      </c>
      <c r="S249" s="57" t="str">
        <f t="shared" si="59"/>
        <v/>
      </c>
      <c r="T249" s="58"/>
    </row>
    <row r="250" spans="2:20" x14ac:dyDescent="0.35">
      <c r="B250" s="45" t="str">
        <f>IF(J250="","",RANK($J250,$J$9:$J$620,0)+COUNTIF($J$9:J250,$J250)-1)</f>
        <v/>
      </c>
      <c r="C250" s="46"/>
      <c r="D250" s="46"/>
      <c r="E250" s="46"/>
      <c r="F250" s="47" t="str">
        <f t="shared" si="57"/>
        <v>--</v>
      </c>
      <c r="G250" s="48"/>
      <c r="H250" s="46"/>
      <c r="I250" s="49"/>
      <c r="J250" s="50"/>
      <c r="K250" s="51"/>
      <c r="L250" s="52">
        <f t="shared" si="60"/>
        <v>31</v>
      </c>
      <c r="M250" s="52">
        <f t="shared" si="60"/>
        <v>31</v>
      </c>
      <c r="N250" s="53"/>
      <c r="O250" s="170"/>
      <c r="P250" s="55">
        <f t="shared" si="56"/>
        <v>0</v>
      </c>
      <c r="Q250" s="171"/>
      <c r="R250" s="56" t="str">
        <f t="shared" si="58"/>
        <v/>
      </c>
      <c r="S250" s="57" t="str">
        <f t="shared" si="59"/>
        <v/>
      </c>
      <c r="T250" s="58"/>
    </row>
    <row r="251" spans="2:20" x14ac:dyDescent="0.35">
      <c r="B251" s="45" t="str">
        <f>IF(J251="","",RANK($J251,$J$9:$J$620,0)+COUNTIF($J$9:J251,$J251)-1)</f>
        <v/>
      </c>
      <c r="C251" s="46"/>
      <c r="D251" s="46"/>
      <c r="E251" s="46"/>
      <c r="F251" s="47" t="str">
        <f t="shared" si="57"/>
        <v>--</v>
      </c>
      <c r="G251" s="48"/>
      <c r="H251" s="169"/>
      <c r="I251" s="49"/>
      <c r="J251" s="50"/>
      <c r="K251" s="51"/>
      <c r="L251" s="52">
        <f t="shared" si="60"/>
        <v>31</v>
      </c>
      <c r="M251" s="52">
        <f t="shared" si="60"/>
        <v>31</v>
      </c>
      <c r="N251" s="53"/>
      <c r="O251" s="170"/>
      <c r="P251" s="55">
        <f t="shared" si="56"/>
        <v>0</v>
      </c>
      <c r="Q251" s="171"/>
      <c r="R251" s="56" t="str">
        <f t="shared" si="58"/>
        <v/>
      </c>
      <c r="S251" s="57" t="str">
        <f t="shared" si="59"/>
        <v/>
      </c>
      <c r="T251" s="58"/>
    </row>
    <row r="252" spans="2:20" x14ac:dyDescent="0.35">
      <c r="B252" s="45" t="str">
        <f>IF(J252="","",RANK($J252,$J$9:$J$620,0)+COUNTIF($J$9:J252,$J252)-1)</f>
        <v/>
      </c>
      <c r="C252" s="46"/>
      <c r="D252" s="46"/>
      <c r="E252" s="46"/>
      <c r="F252" s="47" t="str">
        <f t="shared" si="57"/>
        <v>--</v>
      </c>
      <c r="G252" s="48"/>
      <c r="H252" s="169"/>
      <c r="I252" s="49"/>
      <c r="J252" s="50"/>
      <c r="K252" s="51"/>
      <c r="L252" s="52">
        <f t="shared" si="60"/>
        <v>31</v>
      </c>
      <c r="M252" s="52">
        <f t="shared" si="60"/>
        <v>31</v>
      </c>
      <c r="N252" s="53"/>
      <c r="O252" s="170"/>
      <c r="P252" s="55">
        <f t="shared" si="56"/>
        <v>0</v>
      </c>
      <c r="Q252" s="171"/>
      <c r="R252" s="56" t="str">
        <f t="shared" si="58"/>
        <v/>
      </c>
      <c r="S252" s="57" t="str">
        <f t="shared" si="59"/>
        <v/>
      </c>
      <c r="T252" s="58"/>
    </row>
    <row r="253" spans="2:20" x14ac:dyDescent="0.35">
      <c r="B253" s="45" t="str">
        <f>IF(J253="","",RANK($J253,$J$9:$J$620,0)+COUNTIF($J$9:J253,$J253)-1)</f>
        <v/>
      </c>
      <c r="C253" s="46"/>
      <c r="D253" s="46"/>
      <c r="E253" s="46"/>
      <c r="F253" s="47" t="str">
        <f t="shared" si="57"/>
        <v>--</v>
      </c>
      <c r="G253" s="48"/>
      <c r="H253" s="169"/>
      <c r="I253" s="49"/>
      <c r="J253" s="50"/>
      <c r="K253" s="51"/>
      <c r="L253" s="52">
        <f t="shared" si="60"/>
        <v>31</v>
      </c>
      <c r="M253" s="52">
        <f t="shared" si="60"/>
        <v>31</v>
      </c>
      <c r="N253" s="53"/>
      <c r="O253" s="170"/>
      <c r="P253" s="55">
        <f t="shared" si="56"/>
        <v>0</v>
      </c>
      <c r="Q253" s="171"/>
      <c r="R253" s="56" t="str">
        <f t="shared" si="58"/>
        <v/>
      </c>
      <c r="S253" s="57" t="str">
        <f t="shared" si="59"/>
        <v/>
      </c>
      <c r="T253" s="58"/>
    </row>
    <row r="254" spans="2:20" x14ac:dyDescent="0.35">
      <c r="B254" s="45" t="str">
        <f>IF(J254="","",RANK($J254,$J$9:$J$620,0)+COUNTIF($J$9:J254,$J254)-1)</f>
        <v/>
      </c>
      <c r="C254" s="46"/>
      <c r="D254" s="46"/>
      <c r="E254" s="46"/>
      <c r="F254" s="47" t="str">
        <f t="shared" si="57"/>
        <v>--</v>
      </c>
      <c r="G254" s="48"/>
      <c r="H254" s="169"/>
      <c r="I254" s="49"/>
      <c r="J254" s="50"/>
      <c r="K254" s="51"/>
      <c r="L254" s="52">
        <f t="shared" si="60"/>
        <v>31</v>
      </c>
      <c r="M254" s="52">
        <f t="shared" si="60"/>
        <v>31</v>
      </c>
      <c r="N254" s="53"/>
      <c r="O254" s="170"/>
      <c r="P254" s="55">
        <f t="shared" si="56"/>
        <v>0</v>
      </c>
      <c r="Q254" s="171"/>
      <c r="R254" s="56" t="str">
        <f t="shared" si="58"/>
        <v/>
      </c>
      <c r="S254" s="57" t="str">
        <f t="shared" si="59"/>
        <v/>
      </c>
      <c r="T254" s="58"/>
    </row>
    <row r="255" spans="2:20" x14ac:dyDescent="0.35">
      <c r="B255" s="45" t="str">
        <f>IF(J255="","",RANK($J255,$J$9:$J$620,0)+COUNTIF($J$9:J255,$J255)-1)</f>
        <v/>
      </c>
      <c r="C255" s="46"/>
      <c r="D255" s="46"/>
      <c r="E255" s="46"/>
      <c r="F255" s="47" t="str">
        <f t="shared" si="57"/>
        <v>--</v>
      </c>
      <c r="G255" s="48"/>
      <c r="H255" s="169"/>
      <c r="I255" s="49"/>
      <c r="J255" s="50"/>
      <c r="K255" s="51"/>
      <c r="L255" s="52">
        <f t="shared" si="60"/>
        <v>31</v>
      </c>
      <c r="M255" s="52">
        <f t="shared" si="60"/>
        <v>31</v>
      </c>
      <c r="N255" s="53"/>
      <c r="O255" s="170"/>
      <c r="P255" s="55">
        <f t="shared" si="56"/>
        <v>0</v>
      </c>
      <c r="Q255" s="171"/>
      <c r="R255" s="56" t="str">
        <f t="shared" si="58"/>
        <v/>
      </c>
      <c r="S255" s="57" t="str">
        <f t="shared" si="59"/>
        <v/>
      </c>
      <c r="T255" s="58"/>
    </row>
    <row r="256" spans="2:20" x14ac:dyDescent="0.35">
      <c r="B256" s="45" t="str">
        <f>IF(J256="","",RANK($J256,$J$9:$J$620,0)+COUNTIF($J$9:J256,$J256)-1)</f>
        <v/>
      </c>
      <c r="C256" s="46"/>
      <c r="D256" s="46"/>
      <c r="E256" s="46"/>
      <c r="F256" s="47" t="str">
        <f t="shared" si="57"/>
        <v>--</v>
      </c>
      <c r="G256" s="48"/>
      <c r="H256" s="169"/>
      <c r="I256" s="49"/>
      <c r="J256" s="50"/>
      <c r="K256" s="51"/>
      <c r="L256" s="52">
        <f t="shared" si="60"/>
        <v>31</v>
      </c>
      <c r="M256" s="52">
        <f t="shared" si="60"/>
        <v>31</v>
      </c>
      <c r="N256" s="53"/>
      <c r="O256" s="170"/>
      <c r="P256" s="55">
        <f t="shared" si="56"/>
        <v>0</v>
      </c>
      <c r="Q256" s="171"/>
      <c r="R256" s="56" t="str">
        <f t="shared" si="58"/>
        <v/>
      </c>
      <c r="S256" s="57" t="str">
        <f t="shared" si="59"/>
        <v/>
      </c>
      <c r="T256" s="58"/>
    </row>
    <row r="257" spans="2:20" x14ac:dyDescent="0.35">
      <c r="B257" s="45" t="str">
        <f>IF(J257="","",RANK($J257,$J$9:$J$620,0)+COUNTIF($J$9:J257,$J257)-1)</f>
        <v/>
      </c>
      <c r="C257" s="46"/>
      <c r="D257" s="46"/>
      <c r="E257" s="46"/>
      <c r="F257" s="47" t="str">
        <f t="shared" si="57"/>
        <v>--</v>
      </c>
      <c r="G257" s="48"/>
      <c r="H257" s="46"/>
      <c r="I257" s="49"/>
      <c r="J257" s="50"/>
      <c r="K257" s="51"/>
      <c r="L257" s="52">
        <f t="shared" si="60"/>
        <v>31</v>
      </c>
      <c r="M257" s="52">
        <f t="shared" si="60"/>
        <v>31</v>
      </c>
      <c r="N257" s="53"/>
      <c r="O257" s="170"/>
      <c r="P257" s="55">
        <f t="shared" si="56"/>
        <v>0</v>
      </c>
      <c r="Q257" s="171"/>
      <c r="R257" s="56" t="str">
        <f t="shared" si="58"/>
        <v/>
      </c>
      <c r="S257" s="57" t="str">
        <f t="shared" si="59"/>
        <v/>
      </c>
      <c r="T257" s="58"/>
    </row>
    <row r="258" spans="2:20" x14ac:dyDescent="0.35">
      <c r="B258" s="45" t="str">
        <f>IF(J258="","",RANK($J258,$J$9:$J$620,0)+COUNTIF($J$9:J258,$J258)-1)</f>
        <v/>
      </c>
      <c r="C258" s="46"/>
      <c r="D258" s="46"/>
      <c r="E258" s="46"/>
      <c r="F258" s="47" t="str">
        <f t="shared" si="57"/>
        <v>--</v>
      </c>
      <c r="G258" s="48"/>
      <c r="H258" s="46"/>
      <c r="I258" s="49"/>
      <c r="J258" s="50"/>
      <c r="K258" s="51"/>
      <c r="L258" s="52">
        <f t="shared" si="60"/>
        <v>31</v>
      </c>
      <c r="M258" s="52">
        <f t="shared" si="60"/>
        <v>31</v>
      </c>
      <c r="N258" s="53"/>
      <c r="O258" s="170"/>
      <c r="P258" s="55">
        <f t="shared" si="56"/>
        <v>0</v>
      </c>
      <c r="Q258" s="171"/>
      <c r="R258" s="56" t="str">
        <f t="shared" si="58"/>
        <v/>
      </c>
      <c r="S258" s="57" t="str">
        <f t="shared" si="59"/>
        <v/>
      </c>
      <c r="T258" s="58"/>
    </row>
    <row r="259" spans="2:20" x14ac:dyDescent="0.35">
      <c r="B259" s="45" t="str">
        <f>IF(J259="","",RANK($J259,$J$9:$J$620,0)+COUNTIF($J$9:J259,$J259)-1)</f>
        <v/>
      </c>
      <c r="C259" s="46"/>
      <c r="D259" s="46"/>
      <c r="E259" s="46"/>
      <c r="F259" s="47" t="str">
        <f t="shared" si="57"/>
        <v>--</v>
      </c>
      <c r="G259" s="48"/>
      <c r="H259" s="46"/>
      <c r="I259" s="49"/>
      <c r="J259" s="50"/>
      <c r="K259" s="51"/>
      <c r="L259" s="52">
        <f t="shared" si="60"/>
        <v>31</v>
      </c>
      <c r="M259" s="52">
        <f t="shared" si="60"/>
        <v>31</v>
      </c>
      <c r="N259" s="53"/>
      <c r="O259" s="170"/>
      <c r="P259" s="55">
        <f t="shared" si="56"/>
        <v>0</v>
      </c>
      <c r="Q259" s="171"/>
      <c r="R259" s="56" t="str">
        <f t="shared" si="58"/>
        <v/>
      </c>
      <c r="S259" s="57" t="str">
        <f t="shared" si="59"/>
        <v/>
      </c>
      <c r="T259" s="58"/>
    </row>
    <row r="260" spans="2:20" x14ac:dyDescent="0.35">
      <c r="B260" s="45" t="str">
        <f>IF(J260="","",RANK($J260,$J$9:$J$620,0)+COUNTIF($J$9:J260,$J260)-1)</f>
        <v/>
      </c>
      <c r="C260" s="46"/>
      <c r="D260" s="46"/>
      <c r="E260" s="46"/>
      <c r="F260" s="47" t="str">
        <f t="shared" si="57"/>
        <v>--</v>
      </c>
      <c r="G260" s="48"/>
      <c r="H260" s="46"/>
      <c r="I260" s="49"/>
      <c r="J260" s="50"/>
      <c r="K260" s="51"/>
      <c r="L260" s="52">
        <f t="shared" si="60"/>
        <v>31</v>
      </c>
      <c r="M260" s="52">
        <f t="shared" si="60"/>
        <v>31</v>
      </c>
      <c r="N260" s="53"/>
      <c r="O260" s="170"/>
      <c r="P260" s="55">
        <f t="shared" si="56"/>
        <v>0</v>
      </c>
      <c r="Q260" s="171"/>
      <c r="R260" s="56" t="str">
        <f t="shared" si="58"/>
        <v/>
      </c>
      <c r="S260" s="57" t="str">
        <f t="shared" si="59"/>
        <v/>
      </c>
      <c r="T260" s="58"/>
    </row>
    <row r="261" spans="2:20" x14ac:dyDescent="0.35">
      <c r="B261" s="45" t="str">
        <f>IF(J261="","",RANK($J261,$J$9:$J$620,0)+COUNTIF($J$9:J261,$J261)-1)</f>
        <v/>
      </c>
      <c r="C261" s="46"/>
      <c r="D261" s="46"/>
      <c r="E261" s="46"/>
      <c r="F261" s="47" t="str">
        <f t="shared" si="57"/>
        <v>--</v>
      </c>
      <c r="G261" s="48"/>
      <c r="H261" s="46"/>
      <c r="I261" s="49"/>
      <c r="J261" s="50"/>
      <c r="K261" s="51"/>
      <c r="L261" s="52">
        <f t="shared" si="60"/>
        <v>31</v>
      </c>
      <c r="M261" s="52">
        <f t="shared" si="60"/>
        <v>31</v>
      </c>
      <c r="N261" s="53"/>
      <c r="O261" s="170"/>
      <c r="P261" s="55">
        <f t="shared" si="56"/>
        <v>0</v>
      </c>
      <c r="Q261" s="171"/>
      <c r="R261" s="56" t="str">
        <f t="shared" si="58"/>
        <v/>
      </c>
      <c r="S261" s="57" t="str">
        <f t="shared" si="59"/>
        <v/>
      </c>
      <c r="T261" s="58"/>
    </row>
    <row r="262" spans="2:20" x14ac:dyDescent="0.35">
      <c r="B262" s="45" t="str">
        <f>IF(J262="","",RANK($J262,$J$9:$J$620,0)+COUNTIF($J$9:J262,$J262)-1)</f>
        <v/>
      </c>
      <c r="C262" s="46"/>
      <c r="D262" s="46"/>
      <c r="E262" s="46"/>
      <c r="F262" s="47" t="str">
        <f t="shared" si="57"/>
        <v>--</v>
      </c>
      <c r="G262" s="48"/>
      <c r="H262" s="46"/>
      <c r="I262" s="49"/>
      <c r="J262" s="50"/>
      <c r="K262" s="51"/>
      <c r="L262" s="52">
        <f t="shared" si="60"/>
        <v>31</v>
      </c>
      <c r="M262" s="52">
        <f t="shared" si="60"/>
        <v>31</v>
      </c>
      <c r="N262" s="53"/>
      <c r="O262" s="170"/>
      <c r="P262" s="55">
        <f t="shared" si="56"/>
        <v>0</v>
      </c>
      <c r="Q262" s="171"/>
      <c r="R262" s="56" t="str">
        <f t="shared" si="58"/>
        <v/>
      </c>
      <c r="S262" s="57" t="str">
        <f t="shared" si="59"/>
        <v/>
      </c>
      <c r="T262" s="58"/>
    </row>
    <row r="263" spans="2:20" x14ac:dyDescent="0.35">
      <c r="B263" s="45" t="str">
        <f>IF(J263="","",RANK($J263,$J$9:$J$620,0)+COUNTIF($J$9:J263,$J263)-1)</f>
        <v/>
      </c>
      <c r="C263" s="46"/>
      <c r="D263" s="46"/>
      <c r="E263" s="46"/>
      <c r="F263" s="47" t="str">
        <f t="shared" si="57"/>
        <v>--</v>
      </c>
      <c r="G263" s="48"/>
      <c r="H263" s="46"/>
      <c r="I263" s="49"/>
      <c r="J263" s="50"/>
      <c r="K263" s="51"/>
      <c r="L263" s="52">
        <f t="shared" si="60"/>
        <v>31</v>
      </c>
      <c r="M263" s="52">
        <f t="shared" si="60"/>
        <v>31</v>
      </c>
      <c r="N263" s="53"/>
      <c r="O263" s="170"/>
      <c r="P263" s="55">
        <f t="shared" si="56"/>
        <v>0</v>
      </c>
      <c r="Q263" s="171"/>
      <c r="R263" s="56" t="str">
        <f t="shared" si="58"/>
        <v/>
      </c>
      <c r="S263" s="57" t="str">
        <f t="shared" si="59"/>
        <v/>
      </c>
      <c r="T263" s="58"/>
    </row>
    <row r="264" spans="2:20" x14ac:dyDescent="0.35">
      <c r="B264" s="45" t="str">
        <f>IF(J264="","",RANK($J264,$J$9:$J$620,0)+COUNTIF($J$9:J264,$J264)-1)</f>
        <v/>
      </c>
      <c r="C264" s="46"/>
      <c r="D264" s="46"/>
      <c r="E264" s="46"/>
      <c r="F264" s="47" t="str">
        <f t="shared" si="57"/>
        <v>--</v>
      </c>
      <c r="G264" s="48"/>
      <c r="H264" s="46"/>
      <c r="I264" s="49"/>
      <c r="J264" s="50"/>
      <c r="K264" s="51"/>
      <c r="L264" s="52">
        <f t="shared" si="60"/>
        <v>31</v>
      </c>
      <c r="M264" s="52">
        <f t="shared" si="60"/>
        <v>31</v>
      </c>
      <c r="N264" s="53"/>
      <c r="O264" s="170"/>
      <c r="P264" s="55">
        <f t="shared" si="56"/>
        <v>0</v>
      </c>
      <c r="Q264" s="171"/>
      <c r="R264" s="56" t="str">
        <f t="shared" si="58"/>
        <v/>
      </c>
      <c r="S264" s="57" t="str">
        <f t="shared" si="59"/>
        <v/>
      </c>
      <c r="T264" s="58"/>
    </row>
    <row r="265" spans="2:20" x14ac:dyDescent="0.35">
      <c r="B265" s="45" t="str">
        <f>IF(J265="","",RANK($J265,$J$9:$J$620,0)+COUNTIF($J$9:J265,$J265)-1)</f>
        <v/>
      </c>
      <c r="C265" s="46"/>
      <c r="D265" s="46"/>
      <c r="E265" s="46"/>
      <c r="F265" s="47" t="str">
        <f t="shared" si="57"/>
        <v>--</v>
      </c>
      <c r="G265" s="48"/>
      <c r="H265" s="46"/>
      <c r="I265" s="49"/>
      <c r="J265" s="50"/>
      <c r="K265" s="51"/>
      <c r="L265" s="52">
        <f t="shared" si="60"/>
        <v>31</v>
      </c>
      <c r="M265" s="52">
        <f t="shared" si="60"/>
        <v>31</v>
      </c>
      <c r="N265" s="53"/>
      <c r="O265" s="170"/>
      <c r="P265" s="55">
        <f t="shared" ref="P265:P328" si="61">VLOOKUP(F265,$V$8:$AP$43,COLUMNS($V$9:$AB$9),0)</f>
        <v>0</v>
      </c>
      <c r="Q265" s="171"/>
      <c r="R265" s="56" t="str">
        <f t="shared" si="58"/>
        <v/>
      </c>
      <c r="S265" s="57" t="str">
        <f t="shared" si="59"/>
        <v/>
      </c>
      <c r="T265" s="58"/>
    </row>
    <row r="266" spans="2:20" x14ac:dyDescent="0.35">
      <c r="B266" s="45" t="str">
        <f>IF(J266="","",RANK($J266,$J$9:$J$620,0)+COUNTIF($J$9:J266,$J266)-1)</f>
        <v/>
      </c>
      <c r="C266" s="46"/>
      <c r="D266" s="46"/>
      <c r="E266" s="46"/>
      <c r="F266" s="47" t="str">
        <f t="shared" ref="F266:F291" si="62">G266&amp;"-"&amp;E266&amp;"-"&amp;D266</f>
        <v>--</v>
      </c>
      <c r="G266" s="48"/>
      <c r="H266" s="46"/>
      <c r="I266" s="49"/>
      <c r="J266" s="50"/>
      <c r="K266" s="51"/>
      <c r="L266" s="52">
        <f t="shared" si="60"/>
        <v>31</v>
      </c>
      <c r="M266" s="52">
        <f t="shared" si="60"/>
        <v>31</v>
      </c>
      <c r="N266" s="53"/>
      <c r="O266" s="170"/>
      <c r="P266" s="55">
        <f t="shared" si="61"/>
        <v>0</v>
      </c>
      <c r="Q266" s="171"/>
      <c r="R266" s="56" t="str">
        <f t="shared" ref="R266:R329" si="63">IF(I266="","",IF(($G$5-I266)/365&gt;1.5,"Renewed Lease","New Lease"))</f>
        <v/>
      </c>
      <c r="S266" s="57" t="str">
        <f t="shared" ref="S266:S329" si="64">IF(Q266="","",IFERROR(1-Q266/P266,""))</f>
        <v/>
      </c>
      <c r="T266" s="58"/>
    </row>
    <row r="267" spans="2:20" x14ac:dyDescent="0.35">
      <c r="B267" s="45" t="str">
        <f>IF(J267="","",RANK($J267,$J$9:$J$620,0)+COUNTIF($J$9:J267,$J267)-1)</f>
        <v/>
      </c>
      <c r="C267" s="46"/>
      <c r="D267" s="46"/>
      <c r="E267" s="46"/>
      <c r="F267" s="47" t="str">
        <f t="shared" si="62"/>
        <v>--</v>
      </c>
      <c r="G267" s="48"/>
      <c r="H267" s="46"/>
      <c r="I267" s="49"/>
      <c r="J267" s="50"/>
      <c r="K267" s="51"/>
      <c r="L267" s="52">
        <f t="shared" si="60"/>
        <v>31</v>
      </c>
      <c r="M267" s="52">
        <f t="shared" si="60"/>
        <v>31</v>
      </c>
      <c r="N267" s="53"/>
      <c r="O267" s="170"/>
      <c r="P267" s="55">
        <f t="shared" si="61"/>
        <v>0</v>
      </c>
      <c r="Q267" s="171"/>
      <c r="R267" s="56" t="str">
        <f t="shared" si="63"/>
        <v/>
      </c>
      <c r="S267" s="57" t="str">
        <f t="shared" si="64"/>
        <v/>
      </c>
      <c r="T267" s="58"/>
    </row>
    <row r="268" spans="2:20" x14ac:dyDescent="0.35">
      <c r="B268" s="45" t="str">
        <f>IF(J268="","",RANK($J268,$J$9:$J$620,0)+COUNTIF($J$9:J268,$J268)-1)</f>
        <v/>
      </c>
      <c r="C268" s="46"/>
      <c r="D268" s="46"/>
      <c r="E268" s="46"/>
      <c r="F268" s="47" t="str">
        <f t="shared" si="62"/>
        <v>--</v>
      </c>
      <c r="G268" s="48"/>
      <c r="H268" s="46"/>
      <c r="I268" s="49"/>
      <c r="J268" s="50"/>
      <c r="K268" s="51"/>
      <c r="L268" s="52">
        <f t="shared" si="60"/>
        <v>31</v>
      </c>
      <c r="M268" s="52">
        <f t="shared" si="60"/>
        <v>31</v>
      </c>
      <c r="N268" s="53"/>
      <c r="O268" s="170"/>
      <c r="P268" s="55">
        <f t="shared" si="61"/>
        <v>0</v>
      </c>
      <c r="Q268" s="171"/>
      <c r="R268" s="56" t="str">
        <f t="shared" si="63"/>
        <v/>
      </c>
      <c r="S268" s="57" t="str">
        <f t="shared" si="64"/>
        <v/>
      </c>
      <c r="T268" s="58"/>
    </row>
    <row r="269" spans="2:20" x14ac:dyDescent="0.35">
      <c r="B269" s="45" t="str">
        <f>IF(J269="","",RANK($J269,$J$9:$J$620,0)+COUNTIF($J$9:J269,$J269)-1)</f>
        <v/>
      </c>
      <c r="C269" s="46"/>
      <c r="D269" s="46"/>
      <c r="E269" s="46"/>
      <c r="F269" s="47" t="str">
        <f t="shared" si="62"/>
        <v>--</v>
      </c>
      <c r="G269" s="48"/>
      <c r="H269" s="46"/>
      <c r="I269" s="49"/>
      <c r="J269" s="50"/>
      <c r="K269" s="51"/>
      <c r="L269" s="52">
        <f t="shared" si="60"/>
        <v>31</v>
      </c>
      <c r="M269" s="52">
        <f t="shared" si="60"/>
        <v>31</v>
      </c>
      <c r="N269" s="53"/>
      <c r="O269" s="170"/>
      <c r="P269" s="55">
        <f t="shared" si="61"/>
        <v>0</v>
      </c>
      <c r="Q269" s="171"/>
      <c r="R269" s="56" t="str">
        <f t="shared" si="63"/>
        <v/>
      </c>
      <c r="S269" s="57" t="str">
        <f t="shared" si="64"/>
        <v/>
      </c>
      <c r="T269" s="58"/>
    </row>
    <row r="270" spans="2:20" x14ac:dyDescent="0.35">
      <c r="B270" s="45" t="str">
        <f>IF(J270="","",RANK($J270,$J$9:$J$620,0)+COUNTIF($J$9:J270,$J270)-1)</f>
        <v/>
      </c>
      <c r="C270" s="46"/>
      <c r="D270" s="46"/>
      <c r="E270" s="46"/>
      <c r="F270" s="47" t="str">
        <f t="shared" si="62"/>
        <v>--</v>
      </c>
      <c r="G270" s="48"/>
      <c r="H270" s="46"/>
      <c r="I270" s="49"/>
      <c r="J270" s="50"/>
      <c r="K270" s="51"/>
      <c r="L270" s="52">
        <f t="shared" si="60"/>
        <v>31</v>
      </c>
      <c r="M270" s="52">
        <f t="shared" si="60"/>
        <v>31</v>
      </c>
      <c r="N270" s="53"/>
      <c r="O270" s="170"/>
      <c r="P270" s="55">
        <f t="shared" si="61"/>
        <v>0</v>
      </c>
      <c r="Q270" s="171"/>
      <c r="R270" s="56" t="str">
        <f t="shared" si="63"/>
        <v/>
      </c>
      <c r="S270" s="57" t="str">
        <f t="shared" si="64"/>
        <v/>
      </c>
      <c r="T270" s="58"/>
    </row>
    <row r="271" spans="2:20" x14ac:dyDescent="0.35">
      <c r="B271" s="45" t="str">
        <f>IF(J271="","",RANK($J271,$J$9:$J$620,0)+COUNTIF($J$9:J271,$J271)-1)</f>
        <v/>
      </c>
      <c r="C271" s="46"/>
      <c r="D271" s="46"/>
      <c r="E271" s="46"/>
      <c r="F271" s="47" t="str">
        <f t="shared" si="62"/>
        <v>--</v>
      </c>
      <c r="G271" s="48"/>
      <c r="H271" s="46"/>
      <c r="I271" s="49"/>
      <c r="J271" s="50"/>
      <c r="K271" s="51"/>
      <c r="L271" s="52">
        <f t="shared" si="60"/>
        <v>31</v>
      </c>
      <c r="M271" s="52">
        <f t="shared" si="60"/>
        <v>31</v>
      </c>
      <c r="N271" s="53"/>
      <c r="O271" s="170"/>
      <c r="P271" s="55">
        <f t="shared" si="61"/>
        <v>0</v>
      </c>
      <c r="Q271" s="171"/>
      <c r="R271" s="56" t="str">
        <f t="shared" si="63"/>
        <v/>
      </c>
      <c r="S271" s="57" t="str">
        <f t="shared" si="64"/>
        <v/>
      </c>
      <c r="T271" s="58"/>
    </row>
    <row r="272" spans="2:20" x14ac:dyDescent="0.35">
      <c r="B272" s="45" t="str">
        <f>IF(J272="","",RANK($J272,$J$9:$J$620,0)+COUNTIF($J$9:J272,$J272)-1)</f>
        <v/>
      </c>
      <c r="C272" s="46"/>
      <c r="D272" s="46"/>
      <c r="E272" s="46"/>
      <c r="F272" s="47" t="str">
        <f t="shared" si="62"/>
        <v>--</v>
      </c>
      <c r="G272" s="48"/>
      <c r="H272" s="46"/>
      <c r="I272" s="49"/>
      <c r="J272" s="50"/>
      <c r="K272" s="51"/>
      <c r="L272" s="52">
        <f t="shared" si="60"/>
        <v>31</v>
      </c>
      <c r="M272" s="52">
        <f t="shared" si="60"/>
        <v>31</v>
      </c>
      <c r="N272" s="53"/>
      <c r="O272" s="170"/>
      <c r="P272" s="55">
        <f t="shared" si="61"/>
        <v>0</v>
      </c>
      <c r="Q272" s="171"/>
      <c r="R272" s="56" t="str">
        <f t="shared" si="63"/>
        <v/>
      </c>
      <c r="S272" s="57" t="str">
        <f t="shared" si="64"/>
        <v/>
      </c>
      <c r="T272" s="58"/>
    </row>
    <row r="273" spans="2:20" x14ac:dyDescent="0.35">
      <c r="B273" s="45" t="str">
        <f>IF(J273="","",RANK($J273,$J$9:$J$620,0)+COUNTIF($J$9:J273,$J273)-1)</f>
        <v/>
      </c>
      <c r="C273" s="46"/>
      <c r="D273" s="46"/>
      <c r="E273" s="46"/>
      <c r="F273" s="47" t="str">
        <f t="shared" si="62"/>
        <v>--</v>
      </c>
      <c r="G273" s="48"/>
      <c r="H273" s="46"/>
      <c r="I273" s="49"/>
      <c r="J273" s="50"/>
      <c r="K273" s="51"/>
      <c r="L273" s="52">
        <f t="shared" si="60"/>
        <v>31</v>
      </c>
      <c r="M273" s="52">
        <f t="shared" si="60"/>
        <v>31</v>
      </c>
      <c r="N273" s="53"/>
      <c r="O273" s="170"/>
      <c r="P273" s="55">
        <f t="shared" si="61"/>
        <v>0</v>
      </c>
      <c r="Q273" s="171"/>
      <c r="R273" s="56" t="str">
        <f t="shared" si="63"/>
        <v/>
      </c>
      <c r="S273" s="57" t="str">
        <f t="shared" si="64"/>
        <v/>
      </c>
      <c r="T273" s="58"/>
    </row>
    <row r="274" spans="2:20" x14ac:dyDescent="0.35">
      <c r="B274" s="45" t="str">
        <f>IF(J274="","",RANK($J274,$J$9:$J$620,0)+COUNTIF($J$9:J274,$J274)-1)</f>
        <v/>
      </c>
      <c r="C274" s="46"/>
      <c r="D274" s="46"/>
      <c r="E274" s="46"/>
      <c r="F274" s="47" t="str">
        <f t="shared" si="62"/>
        <v>--</v>
      </c>
      <c r="G274" s="48"/>
      <c r="H274" s="46"/>
      <c r="I274" s="49"/>
      <c r="J274" s="50"/>
      <c r="K274" s="51"/>
      <c r="L274" s="52">
        <f t="shared" ref="L274:M337" si="65">EOMONTH(J274,0)</f>
        <v>31</v>
      </c>
      <c r="M274" s="52">
        <f t="shared" si="65"/>
        <v>31</v>
      </c>
      <c r="N274" s="53"/>
      <c r="O274" s="170"/>
      <c r="P274" s="55">
        <f t="shared" si="61"/>
        <v>0</v>
      </c>
      <c r="Q274" s="171"/>
      <c r="R274" s="56" t="str">
        <f t="shared" si="63"/>
        <v/>
      </c>
      <c r="S274" s="57" t="str">
        <f t="shared" si="64"/>
        <v/>
      </c>
      <c r="T274" s="58"/>
    </row>
    <row r="275" spans="2:20" x14ac:dyDescent="0.35">
      <c r="B275" s="45" t="str">
        <f>IF(J275="","",RANK($J275,$J$9:$J$620,0)+COUNTIF($J$9:J275,$J275)-1)</f>
        <v/>
      </c>
      <c r="C275" s="46"/>
      <c r="D275" s="46"/>
      <c r="E275" s="46"/>
      <c r="F275" s="47" t="str">
        <f t="shared" si="62"/>
        <v>--</v>
      </c>
      <c r="G275" s="48"/>
      <c r="H275" s="46"/>
      <c r="I275" s="49"/>
      <c r="J275" s="50"/>
      <c r="K275" s="51"/>
      <c r="L275" s="52">
        <f t="shared" si="65"/>
        <v>31</v>
      </c>
      <c r="M275" s="52">
        <f t="shared" si="65"/>
        <v>31</v>
      </c>
      <c r="N275" s="53"/>
      <c r="O275" s="170"/>
      <c r="P275" s="55">
        <f t="shared" si="61"/>
        <v>0</v>
      </c>
      <c r="Q275" s="171"/>
      <c r="R275" s="56" t="str">
        <f t="shared" si="63"/>
        <v/>
      </c>
      <c r="S275" s="57" t="str">
        <f t="shared" si="64"/>
        <v/>
      </c>
      <c r="T275" s="58"/>
    </row>
    <row r="276" spans="2:20" x14ac:dyDescent="0.35">
      <c r="B276" s="45" t="str">
        <f>IF(J276="","",RANK($J276,$J$9:$J$620,0)+COUNTIF($J$9:J276,$J276)-1)</f>
        <v/>
      </c>
      <c r="C276" s="46"/>
      <c r="D276" s="46"/>
      <c r="E276" s="46"/>
      <c r="F276" s="47" t="str">
        <f t="shared" si="62"/>
        <v>--</v>
      </c>
      <c r="G276" s="48"/>
      <c r="H276" s="46"/>
      <c r="I276" s="49"/>
      <c r="J276" s="50"/>
      <c r="K276" s="51"/>
      <c r="L276" s="52">
        <f t="shared" si="65"/>
        <v>31</v>
      </c>
      <c r="M276" s="52">
        <f t="shared" si="65"/>
        <v>31</v>
      </c>
      <c r="N276" s="53"/>
      <c r="O276" s="170"/>
      <c r="P276" s="55">
        <f t="shared" si="61"/>
        <v>0</v>
      </c>
      <c r="Q276" s="171"/>
      <c r="R276" s="56" t="str">
        <f t="shared" si="63"/>
        <v/>
      </c>
      <c r="S276" s="57" t="str">
        <f t="shared" si="64"/>
        <v/>
      </c>
      <c r="T276" s="58"/>
    </row>
    <row r="277" spans="2:20" x14ac:dyDescent="0.35">
      <c r="B277" s="45" t="str">
        <f>IF(J277="","",RANK($J277,$J$9:$J$620,0)+COUNTIF($J$9:J277,$J277)-1)</f>
        <v/>
      </c>
      <c r="C277" s="46"/>
      <c r="D277" s="46"/>
      <c r="E277" s="46"/>
      <c r="F277" s="47" t="str">
        <f t="shared" si="62"/>
        <v>--</v>
      </c>
      <c r="G277" s="48"/>
      <c r="H277" s="46"/>
      <c r="I277" s="49"/>
      <c r="J277" s="50"/>
      <c r="K277" s="51"/>
      <c r="L277" s="52">
        <f t="shared" si="65"/>
        <v>31</v>
      </c>
      <c r="M277" s="52">
        <f t="shared" si="65"/>
        <v>31</v>
      </c>
      <c r="N277" s="53"/>
      <c r="O277" s="170"/>
      <c r="P277" s="55">
        <f t="shared" si="61"/>
        <v>0</v>
      </c>
      <c r="Q277" s="171"/>
      <c r="R277" s="56" t="str">
        <f t="shared" si="63"/>
        <v/>
      </c>
      <c r="S277" s="57" t="str">
        <f t="shared" si="64"/>
        <v/>
      </c>
      <c r="T277" s="58"/>
    </row>
    <row r="278" spans="2:20" x14ac:dyDescent="0.35">
      <c r="B278" s="45" t="str">
        <f>IF(J278="","",RANK($J278,$J$9:$J$620,0)+COUNTIF($J$9:J278,$J278)-1)</f>
        <v/>
      </c>
      <c r="C278" s="46"/>
      <c r="D278" s="46"/>
      <c r="E278" s="46"/>
      <c r="F278" s="47" t="str">
        <f t="shared" si="62"/>
        <v>--</v>
      </c>
      <c r="G278" s="48"/>
      <c r="H278" s="46"/>
      <c r="I278" s="49"/>
      <c r="J278" s="50"/>
      <c r="K278" s="51"/>
      <c r="L278" s="52">
        <f t="shared" si="65"/>
        <v>31</v>
      </c>
      <c r="M278" s="52">
        <f t="shared" si="65"/>
        <v>31</v>
      </c>
      <c r="N278" s="53"/>
      <c r="O278" s="170"/>
      <c r="P278" s="55">
        <f t="shared" si="61"/>
        <v>0</v>
      </c>
      <c r="Q278" s="171"/>
      <c r="R278" s="56" t="str">
        <f t="shared" si="63"/>
        <v/>
      </c>
      <c r="S278" s="57" t="str">
        <f t="shared" si="64"/>
        <v/>
      </c>
      <c r="T278" s="58"/>
    </row>
    <row r="279" spans="2:20" x14ac:dyDescent="0.35">
      <c r="B279" s="45" t="str">
        <f>IF(J279="","",RANK($J279,$J$9:$J$620,0)+COUNTIF($J$9:J279,$J279)-1)</f>
        <v/>
      </c>
      <c r="C279" s="46"/>
      <c r="D279" s="46"/>
      <c r="E279" s="46"/>
      <c r="F279" s="47" t="str">
        <f t="shared" si="62"/>
        <v>--</v>
      </c>
      <c r="G279" s="48"/>
      <c r="H279" s="46"/>
      <c r="I279" s="49"/>
      <c r="J279" s="50"/>
      <c r="K279" s="51"/>
      <c r="L279" s="52">
        <f t="shared" si="65"/>
        <v>31</v>
      </c>
      <c r="M279" s="52">
        <f t="shared" si="65"/>
        <v>31</v>
      </c>
      <c r="N279" s="53"/>
      <c r="O279" s="170"/>
      <c r="P279" s="55">
        <f t="shared" si="61"/>
        <v>0</v>
      </c>
      <c r="Q279" s="171"/>
      <c r="R279" s="56" t="str">
        <f t="shared" si="63"/>
        <v/>
      </c>
      <c r="S279" s="57" t="str">
        <f t="shared" si="64"/>
        <v/>
      </c>
      <c r="T279" s="58"/>
    </row>
    <row r="280" spans="2:20" x14ac:dyDescent="0.35">
      <c r="B280" s="45" t="str">
        <f>IF(J280="","",RANK($J280,$J$9:$J$620,0)+COUNTIF($J$9:J280,$J280)-1)</f>
        <v/>
      </c>
      <c r="C280" s="46"/>
      <c r="D280" s="46"/>
      <c r="E280" s="46"/>
      <c r="F280" s="47" t="str">
        <f t="shared" si="62"/>
        <v>--</v>
      </c>
      <c r="G280" s="48"/>
      <c r="H280" s="46"/>
      <c r="I280" s="49"/>
      <c r="J280" s="50"/>
      <c r="K280" s="51"/>
      <c r="L280" s="52">
        <f t="shared" si="65"/>
        <v>31</v>
      </c>
      <c r="M280" s="52">
        <f t="shared" si="65"/>
        <v>31</v>
      </c>
      <c r="N280" s="53"/>
      <c r="O280" s="170"/>
      <c r="P280" s="55">
        <f t="shared" si="61"/>
        <v>0</v>
      </c>
      <c r="Q280" s="171"/>
      <c r="R280" s="56" t="str">
        <f t="shared" si="63"/>
        <v/>
      </c>
      <c r="S280" s="57" t="str">
        <f t="shared" si="64"/>
        <v/>
      </c>
      <c r="T280" s="58"/>
    </row>
    <row r="281" spans="2:20" x14ac:dyDescent="0.35">
      <c r="B281" s="45" t="str">
        <f>IF(J281="","",RANK($J281,$J$9:$J$620,0)+COUNTIF($J$9:J281,$J281)-1)</f>
        <v/>
      </c>
      <c r="C281" s="46"/>
      <c r="D281" s="46"/>
      <c r="E281" s="46"/>
      <c r="F281" s="47" t="str">
        <f t="shared" si="62"/>
        <v>--</v>
      </c>
      <c r="G281" s="48"/>
      <c r="H281" s="46"/>
      <c r="I281" s="49"/>
      <c r="J281" s="50"/>
      <c r="K281" s="51"/>
      <c r="L281" s="52">
        <f t="shared" si="65"/>
        <v>31</v>
      </c>
      <c r="M281" s="52">
        <f t="shared" si="65"/>
        <v>31</v>
      </c>
      <c r="N281" s="53"/>
      <c r="O281" s="170"/>
      <c r="P281" s="55">
        <f t="shared" si="61"/>
        <v>0</v>
      </c>
      <c r="Q281" s="171"/>
      <c r="R281" s="56" t="str">
        <f t="shared" si="63"/>
        <v/>
      </c>
      <c r="S281" s="57" t="str">
        <f t="shared" si="64"/>
        <v/>
      </c>
      <c r="T281" s="58"/>
    </row>
    <row r="282" spans="2:20" x14ac:dyDescent="0.35">
      <c r="B282" s="45" t="str">
        <f>IF(J282="","",RANK($J282,$J$9:$J$620,0)+COUNTIF($J$9:J282,$J282)-1)</f>
        <v/>
      </c>
      <c r="C282" s="46"/>
      <c r="D282" s="46"/>
      <c r="E282" s="46"/>
      <c r="F282" s="47" t="str">
        <f t="shared" si="62"/>
        <v>--</v>
      </c>
      <c r="G282" s="48"/>
      <c r="H282" s="46"/>
      <c r="I282" s="49"/>
      <c r="J282" s="50"/>
      <c r="K282" s="51"/>
      <c r="L282" s="52">
        <f t="shared" si="65"/>
        <v>31</v>
      </c>
      <c r="M282" s="52">
        <f t="shared" si="65"/>
        <v>31</v>
      </c>
      <c r="N282" s="53"/>
      <c r="O282" s="170"/>
      <c r="P282" s="55">
        <f t="shared" si="61"/>
        <v>0</v>
      </c>
      <c r="Q282" s="171"/>
      <c r="R282" s="56" t="str">
        <f t="shared" si="63"/>
        <v/>
      </c>
      <c r="S282" s="57" t="str">
        <f t="shared" si="64"/>
        <v/>
      </c>
      <c r="T282" s="58"/>
    </row>
    <row r="283" spans="2:20" x14ac:dyDescent="0.35">
      <c r="B283" s="45" t="str">
        <f>IF(J283="","",RANK($J283,$J$9:$J$620,0)+COUNTIF($J$9:J283,$J283)-1)</f>
        <v/>
      </c>
      <c r="C283" s="46"/>
      <c r="D283" s="46"/>
      <c r="E283" s="46"/>
      <c r="F283" s="47" t="str">
        <f t="shared" si="62"/>
        <v>--</v>
      </c>
      <c r="G283" s="48"/>
      <c r="H283" s="46"/>
      <c r="I283" s="49"/>
      <c r="J283" s="50"/>
      <c r="K283" s="51"/>
      <c r="L283" s="52">
        <f t="shared" si="65"/>
        <v>31</v>
      </c>
      <c r="M283" s="52">
        <f t="shared" si="65"/>
        <v>31</v>
      </c>
      <c r="N283" s="53"/>
      <c r="O283" s="170"/>
      <c r="P283" s="55">
        <f t="shared" si="61"/>
        <v>0</v>
      </c>
      <c r="Q283" s="171"/>
      <c r="R283" s="56" t="str">
        <f t="shared" si="63"/>
        <v/>
      </c>
      <c r="S283" s="57" t="str">
        <f t="shared" si="64"/>
        <v/>
      </c>
      <c r="T283" s="58"/>
    </row>
    <row r="284" spans="2:20" x14ac:dyDescent="0.35">
      <c r="B284" s="45" t="str">
        <f>IF(J284="","",RANK($J284,$J$9:$J$620,0)+COUNTIF($J$9:J284,$J284)-1)</f>
        <v/>
      </c>
      <c r="C284" s="46"/>
      <c r="D284" s="46"/>
      <c r="E284" s="46"/>
      <c r="F284" s="47" t="str">
        <f t="shared" si="62"/>
        <v>--</v>
      </c>
      <c r="G284" s="48"/>
      <c r="H284" s="46"/>
      <c r="I284" s="49"/>
      <c r="J284" s="50"/>
      <c r="K284" s="51"/>
      <c r="L284" s="52">
        <f t="shared" si="65"/>
        <v>31</v>
      </c>
      <c r="M284" s="52">
        <f t="shared" si="65"/>
        <v>31</v>
      </c>
      <c r="N284" s="53"/>
      <c r="O284" s="170"/>
      <c r="P284" s="55">
        <f t="shared" si="61"/>
        <v>0</v>
      </c>
      <c r="Q284" s="171"/>
      <c r="R284" s="56" t="str">
        <f t="shared" si="63"/>
        <v/>
      </c>
      <c r="S284" s="57" t="str">
        <f t="shared" si="64"/>
        <v/>
      </c>
      <c r="T284" s="58"/>
    </row>
    <row r="285" spans="2:20" x14ac:dyDescent="0.35">
      <c r="B285" s="45" t="str">
        <f>IF(J285="","",RANK($J285,$J$9:$J$620,0)+COUNTIF($J$9:J285,$J285)-1)</f>
        <v/>
      </c>
      <c r="C285" s="46"/>
      <c r="D285" s="46"/>
      <c r="E285" s="46"/>
      <c r="F285" s="47" t="str">
        <f t="shared" si="62"/>
        <v>--</v>
      </c>
      <c r="G285" s="48"/>
      <c r="H285" s="46"/>
      <c r="I285" s="49"/>
      <c r="J285" s="50"/>
      <c r="K285" s="51"/>
      <c r="L285" s="52">
        <f t="shared" si="65"/>
        <v>31</v>
      </c>
      <c r="M285" s="52">
        <f t="shared" si="65"/>
        <v>31</v>
      </c>
      <c r="N285" s="53"/>
      <c r="O285" s="170"/>
      <c r="P285" s="55">
        <f t="shared" si="61"/>
        <v>0</v>
      </c>
      <c r="Q285" s="171"/>
      <c r="R285" s="56" t="str">
        <f t="shared" si="63"/>
        <v/>
      </c>
      <c r="S285" s="57" t="str">
        <f t="shared" si="64"/>
        <v/>
      </c>
      <c r="T285" s="58"/>
    </row>
    <row r="286" spans="2:20" x14ac:dyDescent="0.35">
      <c r="B286" s="45" t="str">
        <f>IF(J286="","",RANK($J286,$J$9:$J$620,0)+COUNTIF($J$9:J286,$J286)-1)</f>
        <v/>
      </c>
      <c r="C286" s="46"/>
      <c r="D286" s="46"/>
      <c r="E286" s="46"/>
      <c r="F286" s="47" t="str">
        <f t="shared" si="62"/>
        <v>--</v>
      </c>
      <c r="G286" s="48"/>
      <c r="H286" s="46"/>
      <c r="I286" s="49"/>
      <c r="J286" s="50"/>
      <c r="K286" s="51"/>
      <c r="L286" s="52">
        <f t="shared" si="65"/>
        <v>31</v>
      </c>
      <c r="M286" s="52">
        <f t="shared" si="65"/>
        <v>31</v>
      </c>
      <c r="N286" s="53"/>
      <c r="O286" s="170"/>
      <c r="P286" s="55">
        <f t="shared" si="61"/>
        <v>0</v>
      </c>
      <c r="Q286" s="171"/>
      <c r="R286" s="56" t="str">
        <f t="shared" si="63"/>
        <v/>
      </c>
      <c r="S286" s="57" t="str">
        <f t="shared" si="64"/>
        <v/>
      </c>
      <c r="T286" s="58"/>
    </row>
    <row r="287" spans="2:20" x14ac:dyDescent="0.35">
      <c r="B287" s="45" t="str">
        <f>IF(J287="","",RANK($J287,$J$9:$J$620,0)+COUNTIF($J$9:J287,$J287)-1)</f>
        <v/>
      </c>
      <c r="C287" s="46"/>
      <c r="D287" s="46"/>
      <c r="E287" s="46"/>
      <c r="F287" s="47" t="str">
        <f t="shared" si="62"/>
        <v>--</v>
      </c>
      <c r="G287" s="48"/>
      <c r="H287" s="46"/>
      <c r="I287" s="49"/>
      <c r="J287" s="50"/>
      <c r="K287" s="51"/>
      <c r="L287" s="52">
        <f t="shared" si="65"/>
        <v>31</v>
      </c>
      <c r="M287" s="52">
        <f t="shared" si="65"/>
        <v>31</v>
      </c>
      <c r="N287" s="53"/>
      <c r="O287" s="170"/>
      <c r="P287" s="55">
        <f t="shared" si="61"/>
        <v>0</v>
      </c>
      <c r="Q287" s="171"/>
      <c r="R287" s="56" t="str">
        <f t="shared" si="63"/>
        <v/>
      </c>
      <c r="S287" s="57" t="str">
        <f t="shared" si="64"/>
        <v/>
      </c>
      <c r="T287" s="58"/>
    </row>
    <row r="288" spans="2:20" x14ac:dyDescent="0.35">
      <c r="B288" s="45" t="str">
        <f>IF(J288="","",RANK($J288,$J$9:$J$620,0)+COUNTIF($J$9:J288,$J288)-1)</f>
        <v/>
      </c>
      <c r="C288" s="46"/>
      <c r="D288" s="46"/>
      <c r="E288" s="46"/>
      <c r="F288" s="47" t="str">
        <f t="shared" si="62"/>
        <v>--</v>
      </c>
      <c r="G288" s="48"/>
      <c r="H288" s="46"/>
      <c r="I288" s="49"/>
      <c r="J288" s="50"/>
      <c r="K288" s="51"/>
      <c r="L288" s="52">
        <f t="shared" si="65"/>
        <v>31</v>
      </c>
      <c r="M288" s="52">
        <f t="shared" si="65"/>
        <v>31</v>
      </c>
      <c r="N288" s="53"/>
      <c r="O288" s="170"/>
      <c r="P288" s="55">
        <f t="shared" si="61"/>
        <v>0</v>
      </c>
      <c r="Q288" s="171"/>
      <c r="R288" s="56" t="str">
        <f t="shared" si="63"/>
        <v/>
      </c>
      <c r="S288" s="57" t="str">
        <f t="shared" si="64"/>
        <v/>
      </c>
      <c r="T288" s="58"/>
    </row>
    <row r="289" spans="2:20" x14ac:dyDescent="0.35">
      <c r="B289" s="45" t="str">
        <f>IF(J289="","",RANK($J289,$J$9:$J$620,0)+COUNTIF($J$9:J289,$J289)-1)</f>
        <v/>
      </c>
      <c r="C289" s="46"/>
      <c r="D289" s="46"/>
      <c r="E289" s="46"/>
      <c r="F289" s="47" t="str">
        <f t="shared" si="62"/>
        <v>--</v>
      </c>
      <c r="G289" s="48"/>
      <c r="H289" s="46"/>
      <c r="I289" s="49"/>
      <c r="J289" s="50"/>
      <c r="K289" s="51"/>
      <c r="L289" s="52">
        <f t="shared" si="65"/>
        <v>31</v>
      </c>
      <c r="M289" s="52">
        <f t="shared" si="65"/>
        <v>31</v>
      </c>
      <c r="N289" s="53"/>
      <c r="O289" s="170"/>
      <c r="P289" s="55">
        <f t="shared" si="61"/>
        <v>0</v>
      </c>
      <c r="Q289" s="171"/>
      <c r="R289" s="56" t="str">
        <f t="shared" si="63"/>
        <v/>
      </c>
      <c r="S289" s="57" t="str">
        <f t="shared" si="64"/>
        <v/>
      </c>
      <c r="T289" s="58"/>
    </row>
    <row r="290" spans="2:20" x14ac:dyDescent="0.35">
      <c r="B290" s="45" t="str">
        <f>IF(J290="","",RANK($J290,$J$9:$J$620,0)+COUNTIF($J$9:J290,$J290)-1)</f>
        <v/>
      </c>
      <c r="C290" s="46"/>
      <c r="D290" s="46"/>
      <c r="E290" s="46"/>
      <c r="F290" s="47" t="str">
        <f t="shared" si="62"/>
        <v>--</v>
      </c>
      <c r="G290" s="48"/>
      <c r="H290" s="46"/>
      <c r="I290" s="49"/>
      <c r="J290" s="50"/>
      <c r="K290" s="51"/>
      <c r="L290" s="52">
        <f t="shared" si="65"/>
        <v>31</v>
      </c>
      <c r="M290" s="52">
        <f t="shared" si="65"/>
        <v>31</v>
      </c>
      <c r="N290" s="53"/>
      <c r="O290" s="170"/>
      <c r="P290" s="55">
        <f t="shared" si="61"/>
        <v>0</v>
      </c>
      <c r="Q290" s="171"/>
      <c r="R290" s="56" t="str">
        <f t="shared" si="63"/>
        <v/>
      </c>
      <c r="S290" s="57" t="str">
        <f t="shared" si="64"/>
        <v/>
      </c>
      <c r="T290" s="58"/>
    </row>
    <row r="291" spans="2:20" x14ac:dyDescent="0.35">
      <c r="B291" s="45" t="str">
        <f>IF(J291="","",RANK($J291,$J$9:$J$620,0)+COUNTIF($J$9:J291,$J291)-1)</f>
        <v/>
      </c>
      <c r="C291" s="46"/>
      <c r="D291" s="46"/>
      <c r="E291" s="46"/>
      <c r="F291" s="47" t="str">
        <f t="shared" si="62"/>
        <v>--</v>
      </c>
      <c r="G291" s="48"/>
      <c r="H291" s="46"/>
      <c r="I291" s="49"/>
      <c r="J291" s="50"/>
      <c r="K291" s="51"/>
      <c r="L291" s="52">
        <f t="shared" si="65"/>
        <v>31</v>
      </c>
      <c r="M291" s="52">
        <f t="shared" si="65"/>
        <v>31</v>
      </c>
      <c r="N291" s="53"/>
      <c r="O291" s="170"/>
      <c r="P291" s="55">
        <f t="shared" si="61"/>
        <v>0</v>
      </c>
      <c r="Q291" s="171"/>
      <c r="R291" s="56" t="str">
        <f t="shared" si="63"/>
        <v/>
      </c>
      <c r="S291" s="57" t="str">
        <f t="shared" si="64"/>
        <v/>
      </c>
      <c r="T291" s="58"/>
    </row>
    <row r="292" spans="2:20" x14ac:dyDescent="0.35">
      <c r="B292" s="45" t="str">
        <f>IF(J292="","",RANK($J292,$J$9:$J$620,0)+COUNTIF($J$9:J292,$J292)-1)</f>
        <v/>
      </c>
      <c r="C292" s="46"/>
      <c r="D292" s="46"/>
      <c r="E292" s="46"/>
      <c r="F292" s="47" t="str">
        <f>G292&amp;"-"&amp;E292&amp;"-"&amp;D292</f>
        <v>--</v>
      </c>
      <c r="G292" s="48"/>
      <c r="H292" s="46"/>
      <c r="I292" s="49"/>
      <c r="J292" s="50"/>
      <c r="K292" s="51"/>
      <c r="L292" s="52">
        <f t="shared" si="65"/>
        <v>31</v>
      </c>
      <c r="M292" s="52">
        <f t="shared" si="65"/>
        <v>31</v>
      </c>
      <c r="N292" s="53"/>
      <c r="O292" s="170"/>
      <c r="P292" s="55">
        <f t="shared" si="61"/>
        <v>0</v>
      </c>
      <c r="Q292" s="171"/>
      <c r="R292" s="56" t="str">
        <f t="shared" si="63"/>
        <v/>
      </c>
      <c r="S292" s="57" t="str">
        <f t="shared" si="64"/>
        <v/>
      </c>
      <c r="T292" s="58"/>
    </row>
    <row r="293" spans="2:20" x14ac:dyDescent="0.35">
      <c r="B293" s="45" t="str">
        <f>IF(J293="","",RANK($J293,$J$9:$J$620,0)+COUNTIF($J$9:J293,$J293)-1)</f>
        <v/>
      </c>
      <c r="C293" s="46"/>
      <c r="D293" s="46"/>
      <c r="E293" s="46"/>
      <c r="F293" s="47"/>
      <c r="G293" s="48"/>
      <c r="H293" s="46"/>
      <c r="I293" s="49"/>
      <c r="J293" s="50"/>
      <c r="K293" s="51"/>
      <c r="L293" s="52">
        <f t="shared" si="65"/>
        <v>31</v>
      </c>
      <c r="M293" s="52">
        <f t="shared" si="65"/>
        <v>31</v>
      </c>
      <c r="N293" s="53"/>
      <c r="O293" s="170"/>
      <c r="P293" s="55">
        <f t="shared" si="61"/>
        <v>0</v>
      </c>
      <c r="Q293" s="171"/>
      <c r="R293" s="56" t="str">
        <f t="shared" si="63"/>
        <v/>
      </c>
      <c r="S293" s="57" t="str">
        <f t="shared" si="64"/>
        <v/>
      </c>
      <c r="T293" s="58"/>
    </row>
    <row r="294" spans="2:20" x14ac:dyDescent="0.35">
      <c r="B294" s="45" t="str">
        <f>IF(J294="","",RANK($J294,$J$9:$J$620,0)+COUNTIF($J$9:J294,$J294)-1)</f>
        <v/>
      </c>
      <c r="C294" s="46"/>
      <c r="D294" s="46"/>
      <c r="E294" s="46"/>
      <c r="F294" s="47"/>
      <c r="G294" s="48"/>
      <c r="H294" s="46"/>
      <c r="I294" s="49"/>
      <c r="J294" s="50"/>
      <c r="K294" s="51"/>
      <c r="L294" s="52">
        <f t="shared" si="65"/>
        <v>31</v>
      </c>
      <c r="M294" s="52">
        <f t="shared" si="65"/>
        <v>31</v>
      </c>
      <c r="N294" s="53"/>
      <c r="O294" s="170"/>
      <c r="P294" s="55">
        <f t="shared" si="61"/>
        <v>0</v>
      </c>
      <c r="Q294" s="171"/>
      <c r="R294" s="56" t="str">
        <f t="shared" si="63"/>
        <v/>
      </c>
      <c r="S294" s="57" t="str">
        <f t="shared" si="64"/>
        <v/>
      </c>
      <c r="T294" s="58"/>
    </row>
    <row r="295" spans="2:20" x14ac:dyDescent="0.35">
      <c r="B295" s="45" t="str">
        <f>IF(J295="","",RANK($J295,$J$9:$J$620,0)+COUNTIF($J$9:J295,$J295)-1)</f>
        <v/>
      </c>
      <c r="C295" s="46"/>
      <c r="D295" s="46"/>
      <c r="E295" s="46"/>
      <c r="F295" s="47"/>
      <c r="G295" s="48"/>
      <c r="H295" s="46"/>
      <c r="I295" s="49"/>
      <c r="J295" s="50"/>
      <c r="K295" s="51"/>
      <c r="L295" s="52">
        <f t="shared" si="65"/>
        <v>31</v>
      </c>
      <c r="M295" s="52">
        <f t="shared" si="65"/>
        <v>31</v>
      </c>
      <c r="N295" s="53"/>
      <c r="O295" s="170"/>
      <c r="P295" s="55">
        <f t="shared" si="61"/>
        <v>0</v>
      </c>
      <c r="Q295" s="171"/>
      <c r="R295" s="56" t="str">
        <f t="shared" si="63"/>
        <v/>
      </c>
      <c r="S295" s="57" t="str">
        <f t="shared" si="64"/>
        <v/>
      </c>
      <c r="T295" s="58"/>
    </row>
    <row r="296" spans="2:20" x14ac:dyDescent="0.35">
      <c r="B296" s="45" t="str">
        <f>IF(J296="","",RANK($J296,$J$9:$J$620,0)+COUNTIF($J$9:J296,$J296)-1)</f>
        <v/>
      </c>
      <c r="C296" s="46"/>
      <c r="D296" s="46"/>
      <c r="E296" s="46"/>
      <c r="F296" s="47"/>
      <c r="G296" s="48"/>
      <c r="H296" s="46"/>
      <c r="I296" s="49"/>
      <c r="J296" s="50"/>
      <c r="K296" s="51"/>
      <c r="L296" s="52">
        <f t="shared" si="65"/>
        <v>31</v>
      </c>
      <c r="M296" s="52">
        <f t="shared" si="65"/>
        <v>31</v>
      </c>
      <c r="N296" s="53"/>
      <c r="O296" s="170"/>
      <c r="P296" s="55">
        <f t="shared" si="61"/>
        <v>0</v>
      </c>
      <c r="Q296" s="171"/>
      <c r="R296" s="56" t="str">
        <f t="shared" si="63"/>
        <v/>
      </c>
      <c r="S296" s="57" t="str">
        <f t="shared" si="64"/>
        <v/>
      </c>
      <c r="T296" s="58"/>
    </row>
    <row r="297" spans="2:20" x14ac:dyDescent="0.35">
      <c r="B297" s="45" t="str">
        <f>IF(J297="","",RANK($J297,$J$9:$J$620,0)+COUNTIF($J$9:J297,$J297)-1)</f>
        <v/>
      </c>
      <c r="C297" s="46"/>
      <c r="D297" s="46"/>
      <c r="E297" s="46"/>
      <c r="F297" s="47"/>
      <c r="G297" s="48"/>
      <c r="H297" s="46"/>
      <c r="I297" s="49"/>
      <c r="J297" s="50"/>
      <c r="K297" s="51"/>
      <c r="L297" s="52">
        <f t="shared" si="65"/>
        <v>31</v>
      </c>
      <c r="M297" s="52">
        <f t="shared" si="65"/>
        <v>31</v>
      </c>
      <c r="N297" s="53"/>
      <c r="O297" s="170"/>
      <c r="P297" s="55">
        <f t="shared" si="61"/>
        <v>0</v>
      </c>
      <c r="Q297" s="171"/>
      <c r="R297" s="56" t="str">
        <f t="shared" si="63"/>
        <v/>
      </c>
      <c r="S297" s="57" t="str">
        <f t="shared" si="64"/>
        <v/>
      </c>
      <c r="T297" s="58"/>
    </row>
    <row r="298" spans="2:20" x14ac:dyDescent="0.35">
      <c r="B298" s="45" t="str">
        <f>IF(J298="","",RANK($J298,$J$9:$J$620,0)+COUNTIF($J$9:J298,$J298)-1)</f>
        <v/>
      </c>
      <c r="C298" s="46"/>
      <c r="D298" s="46"/>
      <c r="E298" s="46"/>
      <c r="F298" s="47"/>
      <c r="G298" s="48"/>
      <c r="H298" s="46"/>
      <c r="I298" s="49"/>
      <c r="J298" s="50"/>
      <c r="K298" s="51"/>
      <c r="L298" s="52">
        <f t="shared" si="65"/>
        <v>31</v>
      </c>
      <c r="M298" s="52">
        <f t="shared" si="65"/>
        <v>31</v>
      </c>
      <c r="N298" s="53"/>
      <c r="O298" s="170"/>
      <c r="P298" s="55">
        <f t="shared" si="61"/>
        <v>0</v>
      </c>
      <c r="Q298" s="171"/>
      <c r="R298" s="56" t="str">
        <f t="shared" si="63"/>
        <v/>
      </c>
      <c r="S298" s="57" t="str">
        <f t="shared" si="64"/>
        <v/>
      </c>
      <c r="T298" s="58"/>
    </row>
    <row r="299" spans="2:20" x14ac:dyDescent="0.35">
      <c r="B299" s="45" t="str">
        <f>IF(J299="","",RANK($J299,$J$9:$J$620,0)+COUNTIF($J$9:J299,$J299)-1)</f>
        <v/>
      </c>
      <c r="C299" s="46"/>
      <c r="D299" s="46"/>
      <c r="E299" s="46"/>
      <c r="F299" s="47"/>
      <c r="G299" s="48"/>
      <c r="H299" s="46"/>
      <c r="I299" s="49"/>
      <c r="J299" s="50"/>
      <c r="K299" s="51"/>
      <c r="L299" s="52">
        <f t="shared" si="65"/>
        <v>31</v>
      </c>
      <c r="M299" s="52">
        <f t="shared" si="65"/>
        <v>31</v>
      </c>
      <c r="N299" s="53"/>
      <c r="O299" s="170"/>
      <c r="P299" s="55">
        <f t="shared" si="61"/>
        <v>0</v>
      </c>
      <c r="Q299" s="171"/>
      <c r="R299" s="56" t="str">
        <f t="shared" si="63"/>
        <v/>
      </c>
      <c r="S299" s="57" t="str">
        <f t="shared" si="64"/>
        <v/>
      </c>
      <c r="T299" s="58"/>
    </row>
    <row r="300" spans="2:20" x14ac:dyDescent="0.35">
      <c r="B300" s="45" t="str">
        <f>IF(J300="","",RANK($J300,$J$9:$J$620,0)+COUNTIF($J$9:J300,$J300)-1)</f>
        <v/>
      </c>
      <c r="C300" s="46"/>
      <c r="D300" s="46"/>
      <c r="E300" s="46"/>
      <c r="F300" s="47"/>
      <c r="G300" s="48"/>
      <c r="H300" s="46"/>
      <c r="I300" s="49"/>
      <c r="J300" s="50"/>
      <c r="K300" s="51"/>
      <c r="L300" s="52">
        <f t="shared" si="65"/>
        <v>31</v>
      </c>
      <c r="M300" s="52">
        <f t="shared" si="65"/>
        <v>31</v>
      </c>
      <c r="N300" s="53"/>
      <c r="O300" s="170"/>
      <c r="P300" s="55">
        <f t="shared" si="61"/>
        <v>0</v>
      </c>
      <c r="Q300" s="171"/>
      <c r="R300" s="56" t="str">
        <f t="shared" si="63"/>
        <v/>
      </c>
      <c r="S300" s="57" t="str">
        <f t="shared" si="64"/>
        <v/>
      </c>
      <c r="T300" s="58"/>
    </row>
    <row r="301" spans="2:20" x14ac:dyDescent="0.35">
      <c r="B301" s="45" t="str">
        <f>IF(J301="","",RANK($J301,$J$9:$J$620,0)+COUNTIF($J$9:J301,$J301)-1)</f>
        <v/>
      </c>
      <c r="C301" s="46"/>
      <c r="D301" s="46"/>
      <c r="E301" s="46"/>
      <c r="F301" s="47"/>
      <c r="G301" s="48"/>
      <c r="H301" s="46"/>
      <c r="I301" s="49"/>
      <c r="J301" s="50"/>
      <c r="K301" s="51"/>
      <c r="L301" s="52">
        <f t="shared" si="65"/>
        <v>31</v>
      </c>
      <c r="M301" s="52">
        <f t="shared" si="65"/>
        <v>31</v>
      </c>
      <c r="N301" s="53"/>
      <c r="O301" s="170"/>
      <c r="P301" s="55">
        <f t="shared" si="61"/>
        <v>0</v>
      </c>
      <c r="Q301" s="171"/>
      <c r="R301" s="56" t="str">
        <f t="shared" si="63"/>
        <v/>
      </c>
      <c r="S301" s="57" t="str">
        <f t="shared" si="64"/>
        <v/>
      </c>
      <c r="T301" s="58"/>
    </row>
    <row r="302" spans="2:20" x14ac:dyDescent="0.35">
      <c r="B302" s="45" t="str">
        <f>IF(J302="","",RANK($J302,$J$9:$J$620,0)+COUNTIF($J$9:J302,$J302)-1)</f>
        <v/>
      </c>
      <c r="C302" s="46"/>
      <c r="D302" s="46"/>
      <c r="E302" s="46"/>
      <c r="F302" s="47"/>
      <c r="G302" s="48"/>
      <c r="H302" s="46"/>
      <c r="I302" s="49"/>
      <c r="J302" s="50"/>
      <c r="K302" s="51"/>
      <c r="L302" s="52">
        <f t="shared" si="65"/>
        <v>31</v>
      </c>
      <c r="M302" s="52">
        <f t="shared" si="65"/>
        <v>31</v>
      </c>
      <c r="N302" s="53"/>
      <c r="O302" s="170"/>
      <c r="P302" s="55">
        <f t="shared" si="61"/>
        <v>0</v>
      </c>
      <c r="Q302" s="171"/>
      <c r="R302" s="56" t="str">
        <f t="shared" si="63"/>
        <v/>
      </c>
      <c r="S302" s="57" t="str">
        <f t="shared" si="64"/>
        <v/>
      </c>
      <c r="T302" s="58"/>
    </row>
    <row r="303" spans="2:20" x14ac:dyDescent="0.35">
      <c r="B303" s="45" t="str">
        <f>IF(J303="","",RANK($J303,$J$9:$J$620,0)+COUNTIF($J$9:J303,$J303)-1)</f>
        <v/>
      </c>
      <c r="C303" s="46"/>
      <c r="D303" s="46"/>
      <c r="E303" s="46"/>
      <c r="F303" s="47"/>
      <c r="G303" s="48"/>
      <c r="H303" s="46"/>
      <c r="I303" s="49"/>
      <c r="J303" s="50"/>
      <c r="K303" s="51"/>
      <c r="L303" s="52">
        <f t="shared" si="65"/>
        <v>31</v>
      </c>
      <c r="M303" s="52">
        <f t="shared" si="65"/>
        <v>31</v>
      </c>
      <c r="N303" s="53"/>
      <c r="O303" s="170"/>
      <c r="P303" s="55">
        <f t="shared" si="61"/>
        <v>0</v>
      </c>
      <c r="Q303" s="171"/>
      <c r="R303" s="56" t="str">
        <f t="shared" si="63"/>
        <v/>
      </c>
      <c r="S303" s="57" t="str">
        <f t="shared" si="64"/>
        <v/>
      </c>
      <c r="T303" s="58"/>
    </row>
    <row r="304" spans="2:20" x14ac:dyDescent="0.35">
      <c r="B304" s="45" t="str">
        <f>IF(J304="","",RANK($J304,$J$9:$J$620,0)+COUNTIF($J$9:J304,$J304)-1)</f>
        <v/>
      </c>
      <c r="C304" s="46"/>
      <c r="D304" s="46"/>
      <c r="E304" s="46"/>
      <c r="F304" s="47"/>
      <c r="G304" s="48"/>
      <c r="H304" s="46"/>
      <c r="I304" s="49"/>
      <c r="J304" s="50"/>
      <c r="K304" s="51"/>
      <c r="L304" s="52">
        <f t="shared" si="65"/>
        <v>31</v>
      </c>
      <c r="M304" s="52">
        <f t="shared" si="65"/>
        <v>31</v>
      </c>
      <c r="N304" s="53"/>
      <c r="O304" s="170"/>
      <c r="P304" s="55">
        <f t="shared" si="61"/>
        <v>0</v>
      </c>
      <c r="Q304" s="171"/>
      <c r="R304" s="56" t="str">
        <f t="shared" si="63"/>
        <v/>
      </c>
      <c r="S304" s="57" t="str">
        <f t="shared" si="64"/>
        <v/>
      </c>
      <c r="T304" s="58"/>
    </row>
    <row r="305" spans="2:20" x14ac:dyDescent="0.35">
      <c r="B305" s="45" t="str">
        <f>IF(J305="","",RANK($J305,$J$9:$J$620,0)+COUNTIF($J$9:J305,$J305)-1)</f>
        <v/>
      </c>
      <c r="C305" s="46"/>
      <c r="D305" s="46"/>
      <c r="E305" s="46"/>
      <c r="F305" s="47"/>
      <c r="G305" s="48"/>
      <c r="H305" s="46"/>
      <c r="I305" s="49"/>
      <c r="J305" s="50"/>
      <c r="K305" s="51"/>
      <c r="L305" s="52">
        <f t="shared" si="65"/>
        <v>31</v>
      </c>
      <c r="M305" s="52">
        <f t="shared" si="65"/>
        <v>31</v>
      </c>
      <c r="N305" s="53"/>
      <c r="O305" s="170"/>
      <c r="P305" s="55">
        <f t="shared" si="61"/>
        <v>0</v>
      </c>
      <c r="Q305" s="171"/>
      <c r="R305" s="56" t="str">
        <f t="shared" si="63"/>
        <v/>
      </c>
      <c r="S305" s="57" t="str">
        <f t="shared" si="64"/>
        <v/>
      </c>
      <c r="T305" s="58"/>
    </row>
    <row r="306" spans="2:20" x14ac:dyDescent="0.35">
      <c r="B306" s="45" t="str">
        <f>IF(J306="","",RANK($J306,$J$9:$J$620,0)+COUNTIF($J$9:J306,$J306)-1)</f>
        <v/>
      </c>
      <c r="C306" s="46"/>
      <c r="D306" s="46"/>
      <c r="E306" s="46"/>
      <c r="F306" s="47"/>
      <c r="G306" s="48"/>
      <c r="H306" s="46"/>
      <c r="I306" s="49"/>
      <c r="J306" s="50"/>
      <c r="K306" s="51"/>
      <c r="L306" s="52">
        <f t="shared" si="65"/>
        <v>31</v>
      </c>
      <c r="M306" s="52">
        <f t="shared" si="65"/>
        <v>31</v>
      </c>
      <c r="N306" s="53"/>
      <c r="O306" s="170"/>
      <c r="P306" s="55">
        <f t="shared" si="61"/>
        <v>0</v>
      </c>
      <c r="Q306" s="171"/>
      <c r="R306" s="56" t="str">
        <f t="shared" si="63"/>
        <v/>
      </c>
      <c r="S306" s="57" t="str">
        <f t="shared" si="64"/>
        <v/>
      </c>
      <c r="T306" s="58"/>
    </row>
    <row r="307" spans="2:20" x14ac:dyDescent="0.35">
      <c r="B307" s="45" t="str">
        <f>IF(J307="","",RANK($J307,$J$9:$J$620,0)+COUNTIF($J$9:J307,$J307)-1)</f>
        <v/>
      </c>
      <c r="C307" s="46"/>
      <c r="D307" s="46"/>
      <c r="E307" s="46"/>
      <c r="F307" s="47"/>
      <c r="G307" s="48"/>
      <c r="H307" s="46"/>
      <c r="I307" s="49"/>
      <c r="J307" s="50"/>
      <c r="K307" s="51"/>
      <c r="L307" s="52">
        <f t="shared" si="65"/>
        <v>31</v>
      </c>
      <c r="M307" s="52">
        <f t="shared" si="65"/>
        <v>31</v>
      </c>
      <c r="N307" s="53"/>
      <c r="O307" s="170"/>
      <c r="P307" s="55">
        <f t="shared" si="61"/>
        <v>0</v>
      </c>
      <c r="Q307" s="171"/>
      <c r="R307" s="56" t="str">
        <f t="shared" si="63"/>
        <v/>
      </c>
      <c r="S307" s="57" t="str">
        <f t="shared" si="64"/>
        <v/>
      </c>
      <c r="T307" s="58"/>
    </row>
    <row r="308" spans="2:20" x14ac:dyDescent="0.35">
      <c r="B308" s="45" t="str">
        <f>IF(J308="","",RANK($J308,$J$9:$J$620,0)+COUNTIF($J$9:J308,$J308)-1)</f>
        <v/>
      </c>
      <c r="C308" s="46"/>
      <c r="D308" s="46"/>
      <c r="E308" s="46"/>
      <c r="F308" s="47"/>
      <c r="G308" s="48"/>
      <c r="H308" s="46"/>
      <c r="I308" s="49"/>
      <c r="J308" s="50"/>
      <c r="K308" s="51"/>
      <c r="L308" s="52">
        <f t="shared" si="65"/>
        <v>31</v>
      </c>
      <c r="M308" s="52">
        <f t="shared" si="65"/>
        <v>31</v>
      </c>
      <c r="N308" s="53"/>
      <c r="O308" s="170"/>
      <c r="P308" s="55">
        <f t="shared" si="61"/>
        <v>0</v>
      </c>
      <c r="Q308" s="171"/>
      <c r="R308" s="56" t="str">
        <f t="shared" si="63"/>
        <v/>
      </c>
      <c r="S308" s="57" t="str">
        <f t="shared" si="64"/>
        <v/>
      </c>
      <c r="T308" s="58"/>
    </row>
    <row r="309" spans="2:20" x14ac:dyDescent="0.35">
      <c r="B309" s="45" t="str">
        <f>IF(J309="","",RANK($J309,$J$9:$J$620,0)+COUNTIF($J$9:J309,$J309)-1)</f>
        <v/>
      </c>
      <c r="C309" s="46"/>
      <c r="D309" s="46"/>
      <c r="E309" s="46"/>
      <c r="F309" s="47"/>
      <c r="G309" s="48"/>
      <c r="H309" s="46"/>
      <c r="I309" s="49"/>
      <c r="J309" s="50"/>
      <c r="K309" s="51"/>
      <c r="L309" s="52">
        <f t="shared" si="65"/>
        <v>31</v>
      </c>
      <c r="M309" s="52">
        <f t="shared" si="65"/>
        <v>31</v>
      </c>
      <c r="N309" s="53"/>
      <c r="O309" s="170"/>
      <c r="P309" s="55">
        <f t="shared" si="61"/>
        <v>0</v>
      </c>
      <c r="Q309" s="171"/>
      <c r="R309" s="56" t="str">
        <f t="shared" si="63"/>
        <v/>
      </c>
      <c r="S309" s="57" t="str">
        <f t="shared" si="64"/>
        <v/>
      </c>
      <c r="T309" s="58"/>
    </row>
    <row r="310" spans="2:20" x14ac:dyDescent="0.35">
      <c r="B310" s="45" t="str">
        <f>IF(J310="","",RANK($J310,$J$9:$J$620,0)+COUNTIF($J$9:J310,$J310)-1)</f>
        <v/>
      </c>
      <c r="C310" s="46"/>
      <c r="D310" s="46"/>
      <c r="E310" s="46"/>
      <c r="F310" s="47"/>
      <c r="G310" s="48"/>
      <c r="H310" s="46"/>
      <c r="I310" s="49"/>
      <c r="J310" s="50"/>
      <c r="K310" s="51"/>
      <c r="L310" s="52">
        <f t="shared" si="65"/>
        <v>31</v>
      </c>
      <c r="M310" s="52">
        <f t="shared" si="65"/>
        <v>31</v>
      </c>
      <c r="N310" s="53"/>
      <c r="O310" s="170"/>
      <c r="P310" s="55">
        <f t="shared" si="61"/>
        <v>0</v>
      </c>
      <c r="Q310" s="171"/>
      <c r="R310" s="56" t="str">
        <f t="shared" si="63"/>
        <v/>
      </c>
      <c r="S310" s="57" t="str">
        <f t="shared" si="64"/>
        <v/>
      </c>
      <c r="T310" s="58"/>
    </row>
    <row r="311" spans="2:20" x14ac:dyDescent="0.35">
      <c r="B311" s="45" t="str">
        <f>IF(J311="","",RANK($J311,$J$9:$J$620,0)+COUNTIF($J$9:J311,$J311)-1)</f>
        <v/>
      </c>
      <c r="C311" s="46"/>
      <c r="D311" s="46"/>
      <c r="E311" s="46"/>
      <c r="F311" s="47"/>
      <c r="G311" s="48"/>
      <c r="H311" s="46"/>
      <c r="I311" s="49"/>
      <c r="J311" s="50"/>
      <c r="K311" s="51"/>
      <c r="L311" s="52">
        <f t="shared" si="65"/>
        <v>31</v>
      </c>
      <c r="M311" s="52">
        <f t="shared" si="65"/>
        <v>31</v>
      </c>
      <c r="N311" s="53"/>
      <c r="O311" s="170"/>
      <c r="P311" s="55">
        <f t="shared" si="61"/>
        <v>0</v>
      </c>
      <c r="Q311" s="171"/>
      <c r="R311" s="56" t="str">
        <f t="shared" si="63"/>
        <v/>
      </c>
      <c r="S311" s="57" t="str">
        <f t="shared" si="64"/>
        <v/>
      </c>
      <c r="T311" s="58"/>
    </row>
    <row r="312" spans="2:20" x14ac:dyDescent="0.35">
      <c r="B312" s="45" t="str">
        <f>IF(J312="","",RANK($J312,$J$9:$J$620,0)+COUNTIF($J$9:J312,$J312)-1)</f>
        <v/>
      </c>
      <c r="C312" s="46"/>
      <c r="D312" s="46"/>
      <c r="E312" s="46"/>
      <c r="F312" s="47"/>
      <c r="G312" s="48"/>
      <c r="H312" s="46"/>
      <c r="I312" s="49"/>
      <c r="J312" s="50"/>
      <c r="K312" s="51"/>
      <c r="L312" s="52">
        <f t="shared" si="65"/>
        <v>31</v>
      </c>
      <c r="M312" s="52">
        <f t="shared" si="65"/>
        <v>31</v>
      </c>
      <c r="N312" s="53"/>
      <c r="O312" s="170"/>
      <c r="P312" s="55">
        <f t="shared" si="61"/>
        <v>0</v>
      </c>
      <c r="Q312" s="171"/>
      <c r="R312" s="56" t="str">
        <f t="shared" si="63"/>
        <v/>
      </c>
      <c r="S312" s="57" t="str">
        <f t="shared" si="64"/>
        <v/>
      </c>
      <c r="T312" s="58"/>
    </row>
    <row r="313" spans="2:20" x14ac:dyDescent="0.35">
      <c r="B313" s="45" t="str">
        <f>IF(J313="","",RANK($J313,$J$9:$J$620,0)+COUNTIF($J$9:J313,$J313)-1)</f>
        <v/>
      </c>
      <c r="C313" s="46"/>
      <c r="D313" s="46"/>
      <c r="E313" s="46"/>
      <c r="F313" s="47"/>
      <c r="G313" s="48"/>
      <c r="H313" s="46"/>
      <c r="I313" s="49"/>
      <c r="J313" s="50"/>
      <c r="K313" s="51"/>
      <c r="L313" s="52">
        <f t="shared" si="65"/>
        <v>31</v>
      </c>
      <c r="M313" s="52">
        <f t="shared" si="65"/>
        <v>31</v>
      </c>
      <c r="N313" s="53"/>
      <c r="O313" s="170"/>
      <c r="P313" s="55">
        <f t="shared" si="61"/>
        <v>0</v>
      </c>
      <c r="Q313" s="171"/>
      <c r="R313" s="56" t="str">
        <f t="shared" si="63"/>
        <v/>
      </c>
      <c r="S313" s="57" t="str">
        <f t="shared" si="64"/>
        <v/>
      </c>
      <c r="T313" s="58"/>
    </row>
    <row r="314" spans="2:20" x14ac:dyDescent="0.35">
      <c r="B314" s="45" t="str">
        <f>IF(J314="","",RANK($J314,$J$9:$J$620,0)+COUNTIF($J$9:J314,$J314)-1)</f>
        <v/>
      </c>
      <c r="C314" s="46"/>
      <c r="D314" s="46"/>
      <c r="E314" s="46"/>
      <c r="F314" s="47"/>
      <c r="G314" s="48"/>
      <c r="H314" s="46"/>
      <c r="I314" s="49"/>
      <c r="J314" s="50"/>
      <c r="K314" s="51"/>
      <c r="L314" s="52">
        <f t="shared" si="65"/>
        <v>31</v>
      </c>
      <c r="M314" s="52">
        <f t="shared" si="65"/>
        <v>31</v>
      </c>
      <c r="N314" s="53"/>
      <c r="O314" s="170"/>
      <c r="P314" s="55">
        <f t="shared" si="61"/>
        <v>0</v>
      </c>
      <c r="Q314" s="171"/>
      <c r="R314" s="56" t="str">
        <f t="shared" si="63"/>
        <v/>
      </c>
      <c r="S314" s="57" t="str">
        <f t="shared" si="64"/>
        <v/>
      </c>
      <c r="T314" s="58"/>
    </row>
    <row r="315" spans="2:20" x14ac:dyDescent="0.35">
      <c r="B315" s="45" t="str">
        <f>IF(J315="","",RANK($J315,$J$9:$J$620,0)+COUNTIF($J$9:J315,$J315)-1)</f>
        <v/>
      </c>
      <c r="C315" s="46"/>
      <c r="D315" s="46"/>
      <c r="E315" s="46"/>
      <c r="F315" s="47"/>
      <c r="G315" s="48"/>
      <c r="H315" s="46"/>
      <c r="I315" s="49"/>
      <c r="J315" s="50"/>
      <c r="K315" s="51"/>
      <c r="L315" s="52">
        <f t="shared" si="65"/>
        <v>31</v>
      </c>
      <c r="M315" s="52">
        <f t="shared" si="65"/>
        <v>31</v>
      </c>
      <c r="N315" s="53"/>
      <c r="O315" s="170"/>
      <c r="P315" s="55">
        <f t="shared" si="61"/>
        <v>0</v>
      </c>
      <c r="Q315" s="171"/>
      <c r="R315" s="56" t="str">
        <f t="shared" si="63"/>
        <v/>
      </c>
      <c r="S315" s="57" t="str">
        <f t="shared" si="64"/>
        <v/>
      </c>
      <c r="T315" s="58"/>
    </row>
    <row r="316" spans="2:20" x14ac:dyDescent="0.35">
      <c r="B316" s="45" t="str">
        <f>IF(J316="","",RANK($J316,$J$9:$J$620,0)+COUNTIF($J$9:J316,$J316)-1)</f>
        <v/>
      </c>
      <c r="C316" s="46"/>
      <c r="D316" s="46"/>
      <c r="E316" s="46"/>
      <c r="F316" s="47"/>
      <c r="G316" s="48"/>
      <c r="H316" s="46"/>
      <c r="I316" s="49"/>
      <c r="J316" s="50"/>
      <c r="K316" s="51"/>
      <c r="L316" s="52">
        <f t="shared" si="65"/>
        <v>31</v>
      </c>
      <c r="M316" s="52">
        <f t="shared" si="65"/>
        <v>31</v>
      </c>
      <c r="N316" s="53"/>
      <c r="O316" s="170"/>
      <c r="P316" s="55">
        <f t="shared" si="61"/>
        <v>0</v>
      </c>
      <c r="Q316" s="171"/>
      <c r="R316" s="56" t="str">
        <f t="shared" si="63"/>
        <v/>
      </c>
      <c r="S316" s="57" t="str">
        <f t="shared" si="64"/>
        <v/>
      </c>
      <c r="T316" s="58"/>
    </row>
    <row r="317" spans="2:20" x14ac:dyDescent="0.35">
      <c r="B317" s="45" t="str">
        <f>IF(J317="","",RANK($J317,$J$9:$J$620,0)+COUNTIF($J$9:J317,$J317)-1)</f>
        <v/>
      </c>
      <c r="C317" s="46"/>
      <c r="D317" s="46"/>
      <c r="E317" s="46"/>
      <c r="F317" s="47"/>
      <c r="G317" s="48"/>
      <c r="H317" s="46"/>
      <c r="I317" s="49"/>
      <c r="J317" s="50"/>
      <c r="K317" s="51"/>
      <c r="L317" s="52">
        <f t="shared" si="65"/>
        <v>31</v>
      </c>
      <c r="M317" s="52">
        <f t="shared" si="65"/>
        <v>31</v>
      </c>
      <c r="N317" s="53"/>
      <c r="O317" s="170"/>
      <c r="P317" s="55">
        <f t="shared" si="61"/>
        <v>0</v>
      </c>
      <c r="Q317" s="171"/>
      <c r="R317" s="56" t="str">
        <f t="shared" si="63"/>
        <v/>
      </c>
      <c r="S317" s="57" t="str">
        <f t="shared" si="64"/>
        <v/>
      </c>
      <c r="T317" s="58"/>
    </row>
    <row r="318" spans="2:20" x14ac:dyDescent="0.35">
      <c r="B318" s="45" t="str">
        <f>IF(J318="","",RANK($J318,$J$9:$J$620,0)+COUNTIF($J$9:J318,$J318)-1)</f>
        <v/>
      </c>
      <c r="C318" s="46"/>
      <c r="D318" s="46"/>
      <c r="E318" s="46"/>
      <c r="F318" s="47"/>
      <c r="G318" s="48"/>
      <c r="H318" s="46"/>
      <c r="I318" s="49"/>
      <c r="J318" s="50"/>
      <c r="K318" s="51"/>
      <c r="L318" s="52">
        <f t="shared" si="65"/>
        <v>31</v>
      </c>
      <c r="M318" s="52">
        <f t="shared" si="65"/>
        <v>31</v>
      </c>
      <c r="N318" s="53"/>
      <c r="O318" s="170"/>
      <c r="P318" s="55">
        <f t="shared" si="61"/>
        <v>0</v>
      </c>
      <c r="Q318" s="171"/>
      <c r="R318" s="56" t="str">
        <f t="shared" si="63"/>
        <v/>
      </c>
      <c r="S318" s="57" t="str">
        <f t="shared" si="64"/>
        <v/>
      </c>
      <c r="T318" s="58"/>
    </row>
    <row r="319" spans="2:20" x14ac:dyDescent="0.35">
      <c r="B319" s="45" t="str">
        <f>IF(J319="","",RANK($J319,$J$9:$J$620,0)+COUNTIF($J$9:J319,$J319)-1)</f>
        <v/>
      </c>
      <c r="C319" s="46"/>
      <c r="D319" s="46"/>
      <c r="E319" s="46"/>
      <c r="F319" s="47"/>
      <c r="G319" s="48"/>
      <c r="H319" s="46"/>
      <c r="I319" s="49"/>
      <c r="J319" s="50"/>
      <c r="K319" s="51"/>
      <c r="L319" s="52">
        <f t="shared" si="65"/>
        <v>31</v>
      </c>
      <c r="M319" s="52">
        <f t="shared" si="65"/>
        <v>31</v>
      </c>
      <c r="N319" s="53"/>
      <c r="O319" s="170"/>
      <c r="P319" s="55">
        <f t="shared" si="61"/>
        <v>0</v>
      </c>
      <c r="Q319" s="171"/>
      <c r="R319" s="56" t="str">
        <f t="shared" si="63"/>
        <v/>
      </c>
      <c r="S319" s="57" t="str">
        <f t="shared" si="64"/>
        <v/>
      </c>
      <c r="T319" s="58"/>
    </row>
    <row r="320" spans="2:20" x14ac:dyDescent="0.35">
      <c r="B320" s="45" t="str">
        <f>IF(J320="","",RANK($J320,$J$9:$J$620,0)+COUNTIF($J$9:J320,$J320)-1)</f>
        <v/>
      </c>
      <c r="C320" s="46"/>
      <c r="D320" s="46"/>
      <c r="E320" s="46"/>
      <c r="F320" s="47"/>
      <c r="G320" s="48"/>
      <c r="H320" s="46"/>
      <c r="I320" s="49"/>
      <c r="J320" s="50"/>
      <c r="K320" s="51"/>
      <c r="L320" s="52">
        <f t="shared" si="65"/>
        <v>31</v>
      </c>
      <c r="M320" s="52">
        <f t="shared" si="65"/>
        <v>31</v>
      </c>
      <c r="N320" s="53"/>
      <c r="O320" s="170"/>
      <c r="P320" s="55">
        <f t="shared" si="61"/>
        <v>0</v>
      </c>
      <c r="Q320" s="171"/>
      <c r="R320" s="56" t="str">
        <f t="shared" si="63"/>
        <v/>
      </c>
      <c r="S320" s="57" t="str">
        <f t="shared" si="64"/>
        <v/>
      </c>
      <c r="T320" s="58"/>
    </row>
    <row r="321" spans="2:20" x14ac:dyDescent="0.35">
      <c r="B321" s="45" t="str">
        <f>IF(J321="","",RANK($J321,$J$9:$J$620,0)+COUNTIF($J$9:J321,$J321)-1)</f>
        <v/>
      </c>
      <c r="C321" s="46"/>
      <c r="D321" s="46"/>
      <c r="E321" s="46"/>
      <c r="F321" s="47"/>
      <c r="G321" s="48"/>
      <c r="H321" s="46"/>
      <c r="I321" s="49"/>
      <c r="J321" s="50"/>
      <c r="K321" s="51"/>
      <c r="L321" s="52">
        <f t="shared" si="65"/>
        <v>31</v>
      </c>
      <c r="M321" s="52">
        <f t="shared" si="65"/>
        <v>31</v>
      </c>
      <c r="N321" s="53"/>
      <c r="O321" s="170"/>
      <c r="P321" s="55">
        <f t="shared" si="61"/>
        <v>0</v>
      </c>
      <c r="Q321" s="171"/>
      <c r="R321" s="56" t="str">
        <f t="shared" si="63"/>
        <v/>
      </c>
      <c r="S321" s="57" t="str">
        <f t="shared" si="64"/>
        <v/>
      </c>
      <c r="T321" s="58"/>
    </row>
    <row r="322" spans="2:20" x14ac:dyDescent="0.35">
      <c r="B322" s="45" t="str">
        <f>IF(J322="","",RANK($J322,$J$9:$J$620,0)+COUNTIF($J$9:J322,$J322)-1)</f>
        <v/>
      </c>
      <c r="C322" s="46"/>
      <c r="D322" s="46"/>
      <c r="E322" s="46"/>
      <c r="F322" s="47"/>
      <c r="G322" s="48"/>
      <c r="H322" s="46"/>
      <c r="I322" s="49"/>
      <c r="J322" s="50"/>
      <c r="K322" s="51"/>
      <c r="L322" s="52">
        <f t="shared" si="65"/>
        <v>31</v>
      </c>
      <c r="M322" s="52">
        <f t="shared" si="65"/>
        <v>31</v>
      </c>
      <c r="N322" s="53"/>
      <c r="O322" s="170"/>
      <c r="P322" s="55">
        <f t="shared" si="61"/>
        <v>0</v>
      </c>
      <c r="Q322" s="171"/>
      <c r="R322" s="56" t="str">
        <f t="shared" si="63"/>
        <v/>
      </c>
      <c r="S322" s="57" t="str">
        <f t="shared" si="64"/>
        <v/>
      </c>
      <c r="T322" s="58"/>
    </row>
    <row r="323" spans="2:20" x14ac:dyDescent="0.35">
      <c r="B323" s="45" t="str">
        <f>IF(J323="","",RANK($J323,$J$9:$J$620,0)+COUNTIF($J$9:J323,$J323)-1)</f>
        <v/>
      </c>
      <c r="C323" s="46"/>
      <c r="D323" s="46"/>
      <c r="E323" s="46"/>
      <c r="F323" s="47"/>
      <c r="G323" s="48"/>
      <c r="H323" s="46"/>
      <c r="I323" s="49"/>
      <c r="J323" s="50"/>
      <c r="K323" s="51"/>
      <c r="L323" s="52">
        <f t="shared" si="65"/>
        <v>31</v>
      </c>
      <c r="M323" s="52">
        <f t="shared" si="65"/>
        <v>31</v>
      </c>
      <c r="N323" s="53"/>
      <c r="O323" s="170"/>
      <c r="P323" s="55">
        <f t="shared" si="61"/>
        <v>0</v>
      </c>
      <c r="Q323" s="171"/>
      <c r="R323" s="56" t="str">
        <f t="shared" si="63"/>
        <v/>
      </c>
      <c r="S323" s="57" t="str">
        <f t="shared" si="64"/>
        <v/>
      </c>
      <c r="T323" s="58"/>
    </row>
    <row r="324" spans="2:20" x14ac:dyDescent="0.35">
      <c r="B324" s="45" t="str">
        <f>IF(J324="","",RANK($J324,$J$9:$J$620,0)+COUNTIF($J$9:J324,$J324)-1)</f>
        <v/>
      </c>
      <c r="C324" s="46"/>
      <c r="D324" s="46"/>
      <c r="E324" s="46"/>
      <c r="F324" s="47"/>
      <c r="G324" s="48"/>
      <c r="H324" s="46"/>
      <c r="I324" s="49"/>
      <c r="J324" s="50"/>
      <c r="K324" s="51"/>
      <c r="L324" s="52">
        <f t="shared" si="65"/>
        <v>31</v>
      </c>
      <c r="M324" s="52">
        <f t="shared" si="65"/>
        <v>31</v>
      </c>
      <c r="N324" s="53"/>
      <c r="O324" s="170"/>
      <c r="P324" s="55">
        <f t="shared" si="61"/>
        <v>0</v>
      </c>
      <c r="Q324" s="171"/>
      <c r="R324" s="56" t="str">
        <f t="shared" si="63"/>
        <v/>
      </c>
      <c r="S324" s="57" t="str">
        <f t="shared" si="64"/>
        <v/>
      </c>
      <c r="T324" s="58"/>
    </row>
    <row r="325" spans="2:20" x14ac:dyDescent="0.35">
      <c r="B325" s="45" t="str">
        <f>IF(J325="","",RANK($J325,$J$9:$J$620,0)+COUNTIF($J$9:J325,$J325)-1)</f>
        <v/>
      </c>
      <c r="C325" s="46"/>
      <c r="D325" s="46"/>
      <c r="E325" s="46"/>
      <c r="F325" s="47"/>
      <c r="G325" s="48"/>
      <c r="H325" s="46"/>
      <c r="I325" s="49"/>
      <c r="J325" s="50"/>
      <c r="K325" s="51"/>
      <c r="L325" s="52">
        <f t="shared" si="65"/>
        <v>31</v>
      </c>
      <c r="M325" s="52">
        <f t="shared" si="65"/>
        <v>31</v>
      </c>
      <c r="N325" s="53"/>
      <c r="O325" s="170"/>
      <c r="P325" s="55">
        <f t="shared" si="61"/>
        <v>0</v>
      </c>
      <c r="Q325" s="171"/>
      <c r="R325" s="56" t="str">
        <f t="shared" si="63"/>
        <v/>
      </c>
      <c r="S325" s="57" t="str">
        <f t="shared" si="64"/>
        <v/>
      </c>
      <c r="T325" s="58"/>
    </row>
    <row r="326" spans="2:20" x14ac:dyDescent="0.35">
      <c r="B326" s="45" t="str">
        <f>IF(J326="","",RANK($J326,$J$9:$J$620,0)+COUNTIF($J$9:J326,$J326)-1)</f>
        <v/>
      </c>
      <c r="C326" s="46"/>
      <c r="D326" s="46"/>
      <c r="E326" s="46"/>
      <c r="F326" s="47"/>
      <c r="G326" s="48"/>
      <c r="H326" s="46"/>
      <c r="I326" s="49"/>
      <c r="J326" s="50"/>
      <c r="K326" s="51"/>
      <c r="L326" s="52">
        <f t="shared" si="65"/>
        <v>31</v>
      </c>
      <c r="M326" s="52">
        <f t="shared" si="65"/>
        <v>31</v>
      </c>
      <c r="N326" s="53"/>
      <c r="O326" s="170"/>
      <c r="P326" s="55">
        <f t="shared" si="61"/>
        <v>0</v>
      </c>
      <c r="Q326" s="171"/>
      <c r="R326" s="56" t="str">
        <f t="shared" si="63"/>
        <v/>
      </c>
      <c r="S326" s="57" t="str">
        <f t="shared" si="64"/>
        <v/>
      </c>
      <c r="T326" s="58"/>
    </row>
    <row r="327" spans="2:20" x14ac:dyDescent="0.35">
      <c r="B327" s="45" t="str">
        <f>IF(J327="","",RANK($J327,$J$9:$J$620,0)+COUNTIF($J$9:J327,$J327)-1)</f>
        <v/>
      </c>
      <c r="C327" s="46"/>
      <c r="D327" s="46"/>
      <c r="E327" s="46"/>
      <c r="F327" s="47"/>
      <c r="G327" s="48"/>
      <c r="H327" s="46"/>
      <c r="I327" s="49"/>
      <c r="J327" s="50"/>
      <c r="K327" s="51"/>
      <c r="L327" s="52">
        <f t="shared" si="65"/>
        <v>31</v>
      </c>
      <c r="M327" s="52">
        <f t="shared" si="65"/>
        <v>31</v>
      </c>
      <c r="N327" s="53"/>
      <c r="O327" s="170"/>
      <c r="P327" s="55">
        <f t="shared" si="61"/>
        <v>0</v>
      </c>
      <c r="Q327" s="171"/>
      <c r="R327" s="56" t="str">
        <f t="shared" si="63"/>
        <v/>
      </c>
      <c r="S327" s="57" t="str">
        <f t="shared" si="64"/>
        <v/>
      </c>
      <c r="T327" s="58"/>
    </row>
    <row r="328" spans="2:20" x14ac:dyDescent="0.35">
      <c r="B328" s="45" t="str">
        <f>IF(J328="","",RANK($J328,$J$9:$J$620,0)+COUNTIF($J$9:J328,$J328)-1)</f>
        <v/>
      </c>
      <c r="C328" s="46"/>
      <c r="D328" s="46"/>
      <c r="E328" s="46"/>
      <c r="F328" s="47"/>
      <c r="G328" s="48"/>
      <c r="H328" s="46"/>
      <c r="I328" s="49"/>
      <c r="J328" s="50"/>
      <c r="K328" s="51"/>
      <c r="L328" s="52">
        <f t="shared" si="65"/>
        <v>31</v>
      </c>
      <c r="M328" s="52">
        <f t="shared" si="65"/>
        <v>31</v>
      </c>
      <c r="N328" s="53"/>
      <c r="O328" s="170"/>
      <c r="P328" s="55">
        <f t="shared" si="61"/>
        <v>0</v>
      </c>
      <c r="Q328" s="171"/>
      <c r="R328" s="56" t="str">
        <f t="shared" si="63"/>
        <v/>
      </c>
      <c r="S328" s="57" t="str">
        <f t="shared" si="64"/>
        <v/>
      </c>
      <c r="T328" s="58"/>
    </row>
    <row r="329" spans="2:20" x14ac:dyDescent="0.35">
      <c r="B329" s="45" t="str">
        <f>IF(J329="","",RANK($J329,$J$9:$J$620,0)+COUNTIF($J$9:J329,$J329)-1)</f>
        <v/>
      </c>
      <c r="C329" s="46"/>
      <c r="D329" s="46"/>
      <c r="E329" s="46"/>
      <c r="F329" s="47"/>
      <c r="G329" s="48"/>
      <c r="H329" s="46"/>
      <c r="I329" s="49"/>
      <c r="J329" s="50"/>
      <c r="K329" s="51"/>
      <c r="L329" s="52">
        <f t="shared" si="65"/>
        <v>31</v>
      </c>
      <c r="M329" s="52">
        <f t="shared" si="65"/>
        <v>31</v>
      </c>
      <c r="N329" s="53"/>
      <c r="O329" s="170"/>
      <c r="P329" s="55">
        <f t="shared" ref="P329:P392" si="66">VLOOKUP(F329,$V$8:$AP$43,COLUMNS($V$9:$AB$9),0)</f>
        <v>0</v>
      </c>
      <c r="Q329" s="171"/>
      <c r="R329" s="56" t="str">
        <f t="shared" si="63"/>
        <v/>
      </c>
      <c r="S329" s="57" t="str">
        <f t="shared" si="64"/>
        <v/>
      </c>
      <c r="T329" s="58"/>
    </row>
    <row r="330" spans="2:20" x14ac:dyDescent="0.35">
      <c r="B330" s="45" t="str">
        <f>IF(J330="","",RANK($J330,$J$9:$J$620,0)+COUNTIF($J$9:J330,$J330)-1)</f>
        <v/>
      </c>
      <c r="C330" s="46"/>
      <c r="D330" s="46"/>
      <c r="E330" s="46"/>
      <c r="F330" s="47"/>
      <c r="G330" s="48"/>
      <c r="H330" s="46"/>
      <c r="I330" s="49"/>
      <c r="J330" s="50"/>
      <c r="K330" s="51"/>
      <c r="L330" s="52">
        <f t="shared" si="65"/>
        <v>31</v>
      </c>
      <c r="M330" s="52">
        <f t="shared" si="65"/>
        <v>31</v>
      </c>
      <c r="N330" s="53"/>
      <c r="O330" s="170"/>
      <c r="P330" s="55">
        <f t="shared" si="66"/>
        <v>0</v>
      </c>
      <c r="Q330" s="171"/>
      <c r="R330" s="56" t="str">
        <f t="shared" ref="R330:R393" si="67">IF(I330="","",IF(($G$5-I330)/365&gt;1.5,"Renewed Lease","New Lease"))</f>
        <v/>
      </c>
      <c r="S330" s="57" t="str">
        <f t="shared" ref="S330:S393" si="68">IF(Q330="","",IFERROR(1-Q330/P330,""))</f>
        <v/>
      </c>
      <c r="T330" s="58"/>
    </row>
    <row r="331" spans="2:20" x14ac:dyDescent="0.35">
      <c r="B331" s="45" t="str">
        <f>IF(J331="","",RANK($J331,$J$9:$J$620,0)+COUNTIF($J$9:J331,$J331)-1)</f>
        <v/>
      </c>
      <c r="C331" s="46"/>
      <c r="D331" s="46"/>
      <c r="E331" s="46"/>
      <c r="F331" s="47"/>
      <c r="G331" s="48"/>
      <c r="H331" s="46"/>
      <c r="I331" s="49"/>
      <c r="J331" s="50"/>
      <c r="K331" s="51"/>
      <c r="L331" s="52">
        <f t="shared" si="65"/>
        <v>31</v>
      </c>
      <c r="M331" s="52">
        <f t="shared" si="65"/>
        <v>31</v>
      </c>
      <c r="N331" s="53"/>
      <c r="O331" s="170"/>
      <c r="P331" s="55">
        <f t="shared" si="66"/>
        <v>0</v>
      </c>
      <c r="Q331" s="171"/>
      <c r="R331" s="56" t="str">
        <f t="shared" si="67"/>
        <v/>
      </c>
      <c r="S331" s="57" t="str">
        <f t="shared" si="68"/>
        <v/>
      </c>
      <c r="T331" s="58"/>
    </row>
    <row r="332" spans="2:20" x14ac:dyDescent="0.35">
      <c r="B332" s="45" t="str">
        <f>IF(J332="","",RANK($J332,$J$9:$J$620,0)+COUNTIF($J$9:J332,$J332)-1)</f>
        <v/>
      </c>
      <c r="C332" s="46"/>
      <c r="D332" s="46"/>
      <c r="E332" s="46"/>
      <c r="F332" s="47"/>
      <c r="G332" s="48"/>
      <c r="H332" s="46"/>
      <c r="I332" s="49"/>
      <c r="J332" s="50"/>
      <c r="K332" s="51"/>
      <c r="L332" s="52">
        <f t="shared" si="65"/>
        <v>31</v>
      </c>
      <c r="M332" s="52">
        <f t="shared" si="65"/>
        <v>31</v>
      </c>
      <c r="N332" s="53"/>
      <c r="O332" s="170"/>
      <c r="P332" s="55">
        <f t="shared" si="66"/>
        <v>0</v>
      </c>
      <c r="Q332" s="171"/>
      <c r="R332" s="56" t="str">
        <f t="shared" si="67"/>
        <v/>
      </c>
      <c r="S332" s="57" t="str">
        <f t="shared" si="68"/>
        <v/>
      </c>
      <c r="T332" s="58"/>
    </row>
    <row r="333" spans="2:20" x14ac:dyDescent="0.35">
      <c r="B333" s="45" t="str">
        <f>IF(J333="","",RANK($J333,$J$9:$J$620,0)+COUNTIF($J$9:J333,$J333)-1)</f>
        <v/>
      </c>
      <c r="C333" s="46"/>
      <c r="D333" s="46"/>
      <c r="E333" s="46"/>
      <c r="F333" s="47"/>
      <c r="G333" s="48"/>
      <c r="H333" s="46"/>
      <c r="I333" s="49"/>
      <c r="J333" s="50"/>
      <c r="K333" s="51"/>
      <c r="L333" s="52">
        <f t="shared" si="65"/>
        <v>31</v>
      </c>
      <c r="M333" s="52">
        <f t="shared" si="65"/>
        <v>31</v>
      </c>
      <c r="N333" s="53"/>
      <c r="O333" s="170"/>
      <c r="P333" s="55">
        <f t="shared" si="66"/>
        <v>0</v>
      </c>
      <c r="Q333" s="171"/>
      <c r="R333" s="56" t="str">
        <f t="shared" si="67"/>
        <v/>
      </c>
      <c r="S333" s="57" t="str">
        <f t="shared" si="68"/>
        <v/>
      </c>
      <c r="T333" s="58"/>
    </row>
    <row r="334" spans="2:20" x14ac:dyDescent="0.35">
      <c r="B334" s="45" t="str">
        <f>IF(J334="","",RANK($J334,$J$9:$J$620,0)+COUNTIF($J$9:J334,$J334)-1)</f>
        <v/>
      </c>
      <c r="C334" s="46"/>
      <c r="D334" s="46"/>
      <c r="E334" s="46"/>
      <c r="F334" s="47"/>
      <c r="G334" s="48"/>
      <c r="H334" s="46"/>
      <c r="I334" s="49"/>
      <c r="J334" s="50"/>
      <c r="K334" s="51"/>
      <c r="L334" s="52">
        <f t="shared" si="65"/>
        <v>31</v>
      </c>
      <c r="M334" s="52">
        <f t="shared" si="65"/>
        <v>31</v>
      </c>
      <c r="N334" s="53"/>
      <c r="O334" s="170"/>
      <c r="P334" s="55">
        <f t="shared" si="66"/>
        <v>0</v>
      </c>
      <c r="Q334" s="171"/>
      <c r="R334" s="56" t="str">
        <f t="shared" si="67"/>
        <v/>
      </c>
      <c r="S334" s="57" t="str">
        <f t="shared" si="68"/>
        <v/>
      </c>
      <c r="T334" s="58"/>
    </row>
    <row r="335" spans="2:20" x14ac:dyDescent="0.35">
      <c r="B335" s="45" t="str">
        <f>IF(J335="","",RANK($J335,$J$9:$J$620,0)+COUNTIF($J$9:J335,$J335)-1)</f>
        <v/>
      </c>
      <c r="C335" s="46"/>
      <c r="D335" s="46"/>
      <c r="E335" s="46"/>
      <c r="F335" s="47"/>
      <c r="G335" s="48"/>
      <c r="H335" s="46"/>
      <c r="I335" s="49"/>
      <c r="J335" s="50"/>
      <c r="K335" s="51"/>
      <c r="L335" s="52">
        <f t="shared" si="65"/>
        <v>31</v>
      </c>
      <c r="M335" s="52">
        <f t="shared" si="65"/>
        <v>31</v>
      </c>
      <c r="N335" s="53"/>
      <c r="O335" s="170"/>
      <c r="P335" s="55">
        <f t="shared" si="66"/>
        <v>0</v>
      </c>
      <c r="Q335" s="171"/>
      <c r="R335" s="56" t="str">
        <f t="shared" si="67"/>
        <v/>
      </c>
      <c r="S335" s="57" t="str">
        <f t="shared" si="68"/>
        <v/>
      </c>
      <c r="T335" s="58"/>
    </row>
    <row r="336" spans="2:20" x14ac:dyDescent="0.35">
      <c r="B336" s="45" t="str">
        <f>IF(J336="","",RANK($J336,$J$9:$J$620,0)+COUNTIF($J$9:J336,$J336)-1)</f>
        <v/>
      </c>
      <c r="C336" s="46"/>
      <c r="D336" s="46"/>
      <c r="E336" s="46"/>
      <c r="F336" s="47"/>
      <c r="G336" s="48"/>
      <c r="H336" s="46"/>
      <c r="I336" s="49"/>
      <c r="J336" s="50"/>
      <c r="K336" s="51"/>
      <c r="L336" s="52">
        <f t="shared" si="65"/>
        <v>31</v>
      </c>
      <c r="M336" s="52">
        <f t="shared" si="65"/>
        <v>31</v>
      </c>
      <c r="N336" s="53"/>
      <c r="O336" s="170"/>
      <c r="P336" s="55">
        <f t="shared" si="66"/>
        <v>0</v>
      </c>
      <c r="Q336" s="171"/>
      <c r="R336" s="56" t="str">
        <f t="shared" si="67"/>
        <v/>
      </c>
      <c r="S336" s="57" t="str">
        <f t="shared" si="68"/>
        <v/>
      </c>
      <c r="T336" s="58"/>
    </row>
    <row r="337" spans="2:20" x14ac:dyDescent="0.35">
      <c r="B337" s="45" t="str">
        <f>IF(J337="","",RANK($J337,$J$9:$J$620,0)+COUNTIF($J$9:J337,$J337)-1)</f>
        <v/>
      </c>
      <c r="C337" s="46"/>
      <c r="D337" s="46"/>
      <c r="E337" s="46"/>
      <c r="F337" s="47"/>
      <c r="G337" s="48"/>
      <c r="H337" s="46"/>
      <c r="I337" s="49"/>
      <c r="J337" s="50"/>
      <c r="K337" s="51"/>
      <c r="L337" s="52">
        <f t="shared" si="65"/>
        <v>31</v>
      </c>
      <c r="M337" s="52">
        <f t="shared" si="65"/>
        <v>31</v>
      </c>
      <c r="N337" s="53"/>
      <c r="O337" s="170"/>
      <c r="P337" s="55">
        <f t="shared" si="66"/>
        <v>0</v>
      </c>
      <c r="Q337" s="171"/>
      <c r="R337" s="56" t="str">
        <f t="shared" si="67"/>
        <v/>
      </c>
      <c r="S337" s="57" t="str">
        <f t="shared" si="68"/>
        <v/>
      </c>
      <c r="T337" s="58"/>
    </row>
    <row r="338" spans="2:20" x14ac:dyDescent="0.35">
      <c r="B338" s="45" t="str">
        <f>IF(J338="","",RANK($J338,$J$9:$J$620,0)+COUNTIF($J$9:J338,$J338)-1)</f>
        <v/>
      </c>
      <c r="C338" s="46"/>
      <c r="D338" s="46"/>
      <c r="E338" s="46"/>
      <c r="F338" s="47"/>
      <c r="G338" s="48"/>
      <c r="H338" s="46"/>
      <c r="I338" s="49"/>
      <c r="J338" s="50"/>
      <c r="K338" s="51"/>
      <c r="L338" s="52">
        <f t="shared" ref="L338:M401" si="69">EOMONTH(J338,0)</f>
        <v>31</v>
      </c>
      <c r="M338" s="52">
        <f t="shared" si="69"/>
        <v>31</v>
      </c>
      <c r="N338" s="53"/>
      <c r="O338" s="170"/>
      <c r="P338" s="55">
        <f t="shared" si="66"/>
        <v>0</v>
      </c>
      <c r="Q338" s="171"/>
      <c r="R338" s="56" t="str">
        <f t="shared" si="67"/>
        <v/>
      </c>
      <c r="S338" s="57" t="str">
        <f t="shared" si="68"/>
        <v/>
      </c>
      <c r="T338" s="58"/>
    </row>
    <row r="339" spans="2:20" x14ac:dyDescent="0.35">
      <c r="B339" s="45" t="str">
        <f>IF(J339="","",RANK($J339,$J$9:$J$620,0)+COUNTIF($J$9:J339,$J339)-1)</f>
        <v/>
      </c>
      <c r="C339" s="46"/>
      <c r="D339" s="46"/>
      <c r="E339" s="46"/>
      <c r="F339" s="47"/>
      <c r="G339" s="48"/>
      <c r="H339" s="46"/>
      <c r="I339" s="49"/>
      <c r="J339" s="50"/>
      <c r="K339" s="51"/>
      <c r="L339" s="52">
        <f t="shared" si="69"/>
        <v>31</v>
      </c>
      <c r="M339" s="52">
        <f t="shared" si="69"/>
        <v>31</v>
      </c>
      <c r="N339" s="53"/>
      <c r="O339" s="170"/>
      <c r="P339" s="55">
        <f t="shared" si="66"/>
        <v>0</v>
      </c>
      <c r="Q339" s="171"/>
      <c r="R339" s="56" t="str">
        <f t="shared" si="67"/>
        <v/>
      </c>
      <c r="S339" s="57" t="str">
        <f t="shared" si="68"/>
        <v/>
      </c>
      <c r="T339" s="58"/>
    </row>
    <row r="340" spans="2:20" x14ac:dyDescent="0.35">
      <c r="B340" s="45" t="str">
        <f>IF(J340="","",RANK($J340,$J$9:$J$620,0)+COUNTIF($J$9:J340,$J340)-1)</f>
        <v/>
      </c>
      <c r="C340" s="46"/>
      <c r="D340" s="46"/>
      <c r="E340" s="46"/>
      <c r="F340" s="47"/>
      <c r="G340" s="48"/>
      <c r="H340" s="46"/>
      <c r="I340" s="49"/>
      <c r="J340" s="50"/>
      <c r="K340" s="51"/>
      <c r="L340" s="52">
        <f t="shared" si="69"/>
        <v>31</v>
      </c>
      <c r="M340" s="52">
        <f t="shared" si="69"/>
        <v>31</v>
      </c>
      <c r="N340" s="53"/>
      <c r="O340" s="170"/>
      <c r="P340" s="55">
        <f t="shared" si="66"/>
        <v>0</v>
      </c>
      <c r="Q340" s="171"/>
      <c r="R340" s="56" t="str">
        <f t="shared" si="67"/>
        <v/>
      </c>
      <c r="S340" s="57" t="str">
        <f t="shared" si="68"/>
        <v/>
      </c>
      <c r="T340" s="58"/>
    </row>
    <row r="341" spans="2:20" x14ac:dyDescent="0.35">
      <c r="B341" s="45" t="str">
        <f>IF(J341="","",RANK($J341,$J$9:$J$620,0)+COUNTIF($J$9:J341,$J341)-1)</f>
        <v/>
      </c>
      <c r="C341" s="46"/>
      <c r="D341" s="46"/>
      <c r="E341" s="46"/>
      <c r="F341" s="47"/>
      <c r="G341" s="48"/>
      <c r="H341" s="46"/>
      <c r="I341" s="49"/>
      <c r="J341" s="50"/>
      <c r="K341" s="51"/>
      <c r="L341" s="52">
        <f t="shared" si="69"/>
        <v>31</v>
      </c>
      <c r="M341" s="52">
        <f t="shared" si="69"/>
        <v>31</v>
      </c>
      <c r="N341" s="53"/>
      <c r="O341" s="170"/>
      <c r="P341" s="55">
        <f t="shared" si="66"/>
        <v>0</v>
      </c>
      <c r="Q341" s="171"/>
      <c r="R341" s="56" t="str">
        <f t="shared" si="67"/>
        <v/>
      </c>
      <c r="S341" s="57" t="str">
        <f t="shared" si="68"/>
        <v/>
      </c>
      <c r="T341" s="58"/>
    </row>
    <row r="342" spans="2:20" x14ac:dyDescent="0.35">
      <c r="B342" s="45" t="str">
        <f>IF(J342="","",RANK($J342,$J$9:$J$620,0)+COUNTIF($J$9:J342,$J342)-1)</f>
        <v/>
      </c>
      <c r="C342" s="46"/>
      <c r="D342" s="46"/>
      <c r="E342" s="46"/>
      <c r="F342" s="47"/>
      <c r="G342" s="48"/>
      <c r="H342" s="46"/>
      <c r="I342" s="49"/>
      <c r="J342" s="50"/>
      <c r="K342" s="51"/>
      <c r="L342" s="52">
        <f t="shared" si="69"/>
        <v>31</v>
      </c>
      <c r="M342" s="52">
        <f t="shared" si="69"/>
        <v>31</v>
      </c>
      <c r="N342" s="53"/>
      <c r="O342" s="170"/>
      <c r="P342" s="55">
        <f t="shared" si="66"/>
        <v>0</v>
      </c>
      <c r="Q342" s="171"/>
      <c r="R342" s="56" t="str">
        <f t="shared" si="67"/>
        <v/>
      </c>
      <c r="S342" s="57" t="str">
        <f t="shared" si="68"/>
        <v/>
      </c>
      <c r="T342" s="58"/>
    </row>
    <row r="343" spans="2:20" x14ac:dyDescent="0.35">
      <c r="B343" s="45" t="str">
        <f>IF(J343="","",RANK($J343,$J$9:$J$620,0)+COUNTIF($J$9:J343,$J343)-1)</f>
        <v/>
      </c>
      <c r="C343" s="46"/>
      <c r="D343" s="46"/>
      <c r="E343" s="46"/>
      <c r="F343" s="47"/>
      <c r="G343" s="48"/>
      <c r="H343" s="46"/>
      <c r="I343" s="49"/>
      <c r="J343" s="50"/>
      <c r="K343" s="51"/>
      <c r="L343" s="52">
        <f t="shared" si="69"/>
        <v>31</v>
      </c>
      <c r="M343" s="52">
        <f t="shared" si="69"/>
        <v>31</v>
      </c>
      <c r="N343" s="53"/>
      <c r="O343" s="170"/>
      <c r="P343" s="55">
        <f t="shared" si="66"/>
        <v>0</v>
      </c>
      <c r="Q343" s="171"/>
      <c r="R343" s="56" t="str">
        <f t="shared" si="67"/>
        <v/>
      </c>
      <c r="S343" s="57" t="str">
        <f t="shared" si="68"/>
        <v/>
      </c>
      <c r="T343" s="58"/>
    </row>
    <row r="344" spans="2:20" x14ac:dyDescent="0.35">
      <c r="B344" s="45" t="str">
        <f>IF(J344="","",RANK($J344,$J$9:$J$620,0)+COUNTIF($J$9:J344,$J344)-1)</f>
        <v/>
      </c>
      <c r="C344" s="46"/>
      <c r="D344" s="46"/>
      <c r="E344" s="46"/>
      <c r="F344" s="47"/>
      <c r="G344" s="48"/>
      <c r="H344" s="46"/>
      <c r="I344" s="49"/>
      <c r="J344" s="50"/>
      <c r="K344" s="51"/>
      <c r="L344" s="52">
        <f t="shared" si="69"/>
        <v>31</v>
      </c>
      <c r="M344" s="52">
        <f t="shared" si="69"/>
        <v>31</v>
      </c>
      <c r="N344" s="53"/>
      <c r="O344" s="170"/>
      <c r="P344" s="55">
        <f t="shared" si="66"/>
        <v>0</v>
      </c>
      <c r="Q344" s="171"/>
      <c r="R344" s="56" t="str">
        <f t="shared" si="67"/>
        <v/>
      </c>
      <c r="S344" s="57" t="str">
        <f t="shared" si="68"/>
        <v/>
      </c>
      <c r="T344" s="58"/>
    </row>
    <row r="345" spans="2:20" x14ac:dyDescent="0.35">
      <c r="B345" s="45" t="str">
        <f>IF(J345="","",RANK($J345,$J$9:$J$620,0)+COUNTIF($J$9:J345,$J345)-1)</f>
        <v/>
      </c>
      <c r="C345" s="46"/>
      <c r="D345" s="46"/>
      <c r="E345" s="46"/>
      <c r="F345" s="47"/>
      <c r="G345" s="48"/>
      <c r="H345" s="46"/>
      <c r="I345" s="49"/>
      <c r="J345" s="50"/>
      <c r="K345" s="51"/>
      <c r="L345" s="52">
        <f t="shared" si="69"/>
        <v>31</v>
      </c>
      <c r="M345" s="52">
        <f t="shared" si="69"/>
        <v>31</v>
      </c>
      <c r="N345" s="53"/>
      <c r="O345" s="170"/>
      <c r="P345" s="55">
        <f t="shared" si="66"/>
        <v>0</v>
      </c>
      <c r="Q345" s="171"/>
      <c r="R345" s="56" t="str">
        <f t="shared" si="67"/>
        <v/>
      </c>
      <c r="S345" s="57" t="str">
        <f t="shared" si="68"/>
        <v/>
      </c>
      <c r="T345" s="58"/>
    </row>
    <row r="346" spans="2:20" x14ac:dyDescent="0.35">
      <c r="B346" s="45" t="str">
        <f>IF(J346="","",RANK($J346,$J$9:$J$620,0)+COUNTIF($J$9:J346,$J346)-1)</f>
        <v/>
      </c>
      <c r="C346" s="46"/>
      <c r="D346" s="46"/>
      <c r="E346" s="46"/>
      <c r="F346" s="47"/>
      <c r="G346" s="48"/>
      <c r="H346" s="46"/>
      <c r="I346" s="49"/>
      <c r="J346" s="50"/>
      <c r="K346" s="51"/>
      <c r="L346" s="52">
        <f t="shared" si="69"/>
        <v>31</v>
      </c>
      <c r="M346" s="52">
        <f t="shared" si="69"/>
        <v>31</v>
      </c>
      <c r="N346" s="53"/>
      <c r="O346" s="170"/>
      <c r="P346" s="55">
        <f t="shared" si="66"/>
        <v>0</v>
      </c>
      <c r="Q346" s="171"/>
      <c r="R346" s="56" t="str">
        <f t="shared" si="67"/>
        <v/>
      </c>
      <c r="S346" s="57" t="str">
        <f t="shared" si="68"/>
        <v/>
      </c>
      <c r="T346" s="58"/>
    </row>
    <row r="347" spans="2:20" x14ac:dyDescent="0.35">
      <c r="B347" s="45" t="str">
        <f>IF(J347="","",RANK($J347,$J$9:$J$620,0)+COUNTIF($J$9:J347,$J347)-1)</f>
        <v/>
      </c>
      <c r="C347" s="46"/>
      <c r="D347" s="46"/>
      <c r="E347" s="46"/>
      <c r="F347" s="47"/>
      <c r="G347" s="48"/>
      <c r="H347" s="46"/>
      <c r="I347" s="49"/>
      <c r="J347" s="50"/>
      <c r="K347" s="51"/>
      <c r="L347" s="52">
        <f t="shared" si="69"/>
        <v>31</v>
      </c>
      <c r="M347" s="52">
        <f t="shared" si="69"/>
        <v>31</v>
      </c>
      <c r="N347" s="53"/>
      <c r="O347" s="170"/>
      <c r="P347" s="55">
        <f t="shared" si="66"/>
        <v>0</v>
      </c>
      <c r="Q347" s="171"/>
      <c r="R347" s="56" t="str">
        <f t="shared" si="67"/>
        <v/>
      </c>
      <c r="S347" s="57" t="str">
        <f t="shared" si="68"/>
        <v/>
      </c>
      <c r="T347" s="58"/>
    </row>
    <row r="348" spans="2:20" x14ac:dyDescent="0.35">
      <c r="B348" s="45" t="str">
        <f>IF(J348="","",RANK($J348,$J$9:$J$620,0)+COUNTIF($J$9:J348,$J348)-1)</f>
        <v/>
      </c>
      <c r="C348" s="46"/>
      <c r="D348" s="46"/>
      <c r="E348" s="46"/>
      <c r="F348" s="47"/>
      <c r="G348" s="48"/>
      <c r="H348" s="46"/>
      <c r="I348" s="49"/>
      <c r="J348" s="50"/>
      <c r="K348" s="51"/>
      <c r="L348" s="52">
        <f t="shared" si="69"/>
        <v>31</v>
      </c>
      <c r="M348" s="52">
        <f t="shared" si="69"/>
        <v>31</v>
      </c>
      <c r="N348" s="53"/>
      <c r="O348" s="170"/>
      <c r="P348" s="55">
        <f t="shared" si="66"/>
        <v>0</v>
      </c>
      <c r="Q348" s="171"/>
      <c r="R348" s="56" t="str">
        <f t="shared" si="67"/>
        <v/>
      </c>
      <c r="S348" s="57" t="str">
        <f t="shared" si="68"/>
        <v/>
      </c>
      <c r="T348" s="58"/>
    </row>
    <row r="349" spans="2:20" x14ac:dyDescent="0.35">
      <c r="B349" s="45" t="str">
        <f>IF(J349="","",RANK($J349,$J$9:$J$620,0)+COUNTIF($J$9:J349,$J349)-1)</f>
        <v/>
      </c>
      <c r="C349" s="46"/>
      <c r="D349" s="46"/>
      <c r="E349" s="46"/>
      <c r="F349" s="47"/>
      <c r="G349" s="48"/>
      <c r="H349" s="46"/>
      <c r="I349" s="49"/>
      <c r="J349" s="50"/>
      <c r="K349" s="51"/>
      <c r="L349" s="52">
        <f t="shared" si="69"/>
        <v>31</v>
      </c>
      <c r="M349" s="52">
        <f t="shared" si="69"/>
        <v>31</v>
      </c>
      <c r="N349" s="53"/>
      <c r="O349" s="170"/>
      <c r="P349" s="55">
        <f t="shared" si="66"/>
        <v>0</v>
      </c>
      <c r="Q349" s="171"/>
      <c r="R349" s="56" t="str">
        <f t="shared" si="67"/>
        <v/>
      </c>
      <c r="S349" s="57" t="str">
        <f t="shared" si="68"/>
        <v/>
      </c>
      <c r="T349" s="58"/>
    </row>
    <row r="350" spans="2:20" x14ac:dyDescent="0.35">
      <c r="B350" s="45" t="str">
        <f>IF(J350="","",RANK($J350,$J$9:$J$620,0)+COUNTIF($J$9:J350,$J350)-1)</f>
        <v/>
      </c>
      <c r="C350" s="46"/>
      <c r="D350" s="46"/>
      <c r="E350" s="46"/>
      <c r="F350" s="47"/>
      <c r="G350" s="48"/>
      <c r="H350" s="46"/>
      <c r="I350" s="49"/>
      <c r="J350" s="50"/>
      <c r="K350" s="51"/>
      <c r="L350" s="52">
        <f t="shared" si="69"/>
        <v>31</v>
      </c>
      <c r="M350" s="52">
        <f t="shared" si="69"/>
        <v>31</v>
      </c>
      <c r="N350" s="53"/>
      <c r="O350" s="170"/>
      <c r="P350" s="55">
        <f t="shared" si="66"/>
        <v>0</v>
      </c>
      <c r="Q350" s="171"/>
      <c r="R350" s="56" t="str">
        <f t="shared" si="67"/>
        <v/>
      </c>
      <c r="S350" s="57" t="str">
        <f t="shared" si="68"/>
        <v/>
      </c>
      <c r="T350" s="58"/>
    </row>
    <row r="351" spans="2:20" x14ac:dyDescent="0.35">
      <c r="B351" s="45" t="str">
        <f>IF(J351="","",RANK($J351,$J$9:$J$620,0)+COUNTIF($J$9:J351,$J351)-1)</f>
        <v/>
      </c>
      <c r="C351" s="46"/>
      <c r="D351" s="46"/>
      <c r="E351" s="46"/>
      <c r="F351" s="47"/>
      <c r="G351" s="48"/>
      <c r="H351" s="46"/>
      <c r="I351" s="49"/>
      <c r="J351" s="50"/>
      <c r="K351" s="51"/>
      <c r="L351" s="52">
        <f t="shared" si="69"/>
        <v>31</v>
      </c>
      <c r="M351" s="52">
        <f t="shared" si="69"/>
        <v>31</v>
      </c>
      <c r="N351" s="53"/>
      <c r="O351" s="170"/>
      <c r="P351" s="55">
        <f t="shared" si="66"/>
        <v>0</v>
      </c>
      <c r="Q351" s="171"/>
      <c r="R351" s="56" t="str">
        <f t="shared" si="67"/>
        <v/>
      </c>
      <c r="S351" s="57" t="str">
        <f t="shared" si="68"/>
        <v/>
      </c>
      <c r="T351" s="58"/>
    </row>
    <row r="352" spans="2:20" x14ac:dyDescent="0.35">
      <c r="B352" s="45" t="str">
        <f>IF(J352="","",RANK($J352,$J$9:$J$620,0)+COUNTIF($J$9:J352,$J352)-1)</f>
        <v/>
      </c>
      <c r="C352" s="46"/>
      <c r="D352" s="46"/>
      <c r="E352" s="46"/>
      <c r="F352" s="47"/>
      <c r="G352" s="48"/>
      <c r="H352" s="46"/>
      <c r="I352" s="49"/>
      <c r="J352" s="50"/>
      <c r="K352" s="51"/>
      <c r="L352" s="52">
        <f t="shared" si="69"/>
        <v>31</v>
      </c>
      <c r="M352" s="52">
        <f t="shared" si="69"/>
        <v>31</v>
      </c>
      <c r="N352" s="53"/>
      <c r="O352" s="170"/>
      <c r="P352" s="55">
        <f t="shared" si="66"/>
        <v>0</v>
      </c>
      <c r="Q352" s="171"/>
      <c r="R352" s="56" t="str">
        <f t="shared" si="67"/>
        <v/>
      </c>
      <c r="S352" s="57" t="str">
        <f t="shared" si="68"/>
        <v/>
      </c>
      <c r="T352" s="58"/>
    </row>
    <row r="353" spans="2:20" x14ac:dyDescent="0.35">
      <c r="B353" s="45" t="str">
        <f>IF(J353="","",RANK($J353,$J$9:$J$620,0)+COUNTIF($J$9:J353,$J353)-1)</f>
        <v/>
      </c>
      <c r="C353" s="46"/>
      <c r="D353" s="46"/>
      <c r="E353" s="46"/>
      <c r="F353" s="47"/>
      <c r="G353" s="48"/>
      <c r="H353" s="46"/>
      <c r="I353" s="49"/>
      <c r="J353" s="50"/>
      <c r="K353" s="51"/>
      <c r="L353" s="52">
        <f t="shared" si="69"/>
        <v>31</v>
      </c>
      <c r="M353" s="52">
        <f t="shared" si="69"/>
        <v>31</v>
      </c>
      <c r="N353" s="53"/>
      <c r="O353" s="170"/>
      <c r="P353" s="55">
        <f t="shared" si="66"/>
        <v>0</v>
      </c>
      <c r="Q353" s="171"/>
      <c r="R353" s="56" t="str">
        <f t="shared" si="67"/>
        <v/>
      </c>
      <c r="S353" s="57" t="str">
        <f t="shared" si="68"/>
        <v/>
      </c>
      <c r="T353" s="58"/>
    </row>
    <row r="354" spans="2:20" x14ac:dyDescent="0.35">
      <c r="B354" s="45" t="str">
        <f>IF(J354="","",RANK($J354,$J$9:$J$620,0)+COUNTIF($J$9:J354,$J354)-1)</f>
        <v/>
      </c>
      <c r="C354" s="46"/>
      <c r="D354" s="46"/>
      <c r="E354" s="46"/>
      <c r="F354" s="47"/>
      <c r="G354" s="48"/>
      <c r="H354" s="46"/>
      <c r="I354" s="49"/>
      <c r="J354" s="50"/>
      <c r="K354" s="51"/>
      <c r="L354" s="52">
        <f t="shared" si="69"/>
        <v>31</v>
      </c>
      <c r="M354" s="52">
        <f t="shared" si="69"/>
        <v>31</v>
      </c>
      <c r="N354" s="53"/>
      <c r="O354" s="170"/>
      <c r="P354" s="55">
        <f t="shared" si="66"/>
        <v>0</v>
      </c>
      <c r="Q354" s="171"/>
      <c r="R354" s="56" t="str">
        <f t="shared" si="67"/>
        <v/>
      </c>
      <c r="S354" s="57" t="str">
        <f t="shared" si="68"/>
        <v/>
      </c>
      <c r="T354" s="58"/>
    </row>
    <row r="355" spans="2:20" x14ac:dyDescent="0.35">
      <c r="B355" s="45" t="str">
        <f>IF(J355="","",RANK($J355,$J$9:$J$620,0)+COUNTIF($J$9:J355,$J355)-1)</f>
        <v/>
      </c>
      <c r="C355" s="46"/>
      <c r="D355" s="46"/>
      <c r="E355" s="46"/>
      <c r="F355" s="47"/>
      <c r="G355" s="48"/>
      <c r="H355" s="46"/>
      <c r="I355" s="49"/>
      <c r="J355" s="50"/>
      <c r="K355" s="51"/>
      <c r="L355" s="52">
        <f t="shared" si="69"/>
        <v>31</v>
      </c>
      <c r="M355" s="52">
        <f t="shared" si="69"/>
        <v>31</v>
      </c>
      <c r="N355" s="53"/>
      <c r="O355" s="170"/>
      <c r="P355" s="55">
        <f t="shared" si="66"/>
        <v>0</v>
      </c>
      <c r="Q355" s="171"/>
      <c r="R355" s="56" t="str">
        <f t="shared" si="67"/>
        <v/>
      </c>
      <c r="S355" s="57" t="str">
        <f t="shared" si="68"/>
        <v/>
      </c>
      <c r="T355" s="58"/>
    </row>
    <row r="356" spans="2:20" x14ac:dyDescent="0.35">
      <c r="B356" s="45" t="str">
        <f>IF(J356="","",RANK($J356,$J$9:$J$620,0)+COUNTIF($J$9:J356,$J356)-1)</f>
        <v/>
      </c>
      <c r="C356" s="46"/>
      <c r="D356" s="46"/>
      <c r="E356" s="46"/>
      <c r="F356" s="47"/>
      <c r="G356" s="48"/>
      <c r="H356" s="46"/>
      <c r="I356" s="49"/>
      <c r="J356" s="50"/>
      <c r="K356" s="51"/>
      <c r="L356" s="52">
        <f t="shared" si="69"/>
        <v>31</v>
      </c>
      <c r="M356" s="52">
        <f t="shared" si="69"/>
        <v>31</v>
      </c>
      <c r="N356" s="53"/>
      <c r="O356" s="170"/>
      <c r="P356" s="55">
        <f t="shared" si="66"/>
        <v>0</v>
      </c>
      <c r="Q356" s="171"/>
      <c r="R356" s="56" t="str">
        <f t="shared" si="67"/>
        <v/>
      </c>
      <c r="S356" s="57" t="str">
        <f t="shared" si="68"/>
        <v/>
      </c>
      <c r="T356" s="58"/>
    </row>
    <row r="357" spans="2:20" x14ac:dyDescent="0.35">
      <c r="B357" s="45" t="str">
        <f>IF(J357="","",RANK($J357,$J$9:$J$620,0)+COUNTIF($J$9:J357,$J357)-1)</f>
        <v/>
      </c>
      <c r="C357" s="46"/>
      <c r="D357" s="46"/>
      <c r="E357" s="46"/>
      <c r="F357" s="47"/>
      <c r="G357" s="48"/>
      <c r="H357" s="46"/>
      <c r="I357" s="49"/>
      <c r="J357" s="50"/>
      <c r="K357" s="51"/>
      <c r="L357" s="52">
        <f t="shared" si="69"/>
        <v>31</v>
      </c>
      <c r="M357" s="52">
        <f t="shared" si="69"/>
        <v>31</v>
      </c>
      <c r="N357" s="53"/>
      <c r="O357" s="170"/>
      <c r="P357" s="55">
        <f t="shared" si="66"/>
        <v>0</v>
      </c>
      <c r="Q357" s="171"/>
      <c r="R357" s="56" t="str">
        <f t="shared" si="67"/>
        <v/>
      </c>
      <c r="S357" s="57" t="str">
        <f t="shared" si="68"/>
        <v/>
      </c>
      <c r="T357" s="58"/>
    </row>
    <row r="358" spans="2:20" x14ac:dyDescent="0.35">
      <c r="B358" s="45" t="str">
        <f>IF(J358="","",RANK($J358,$J$9:$J$620,0)+COUNTIF($J$9:J358,$J358)-1)</f>
        <v/>
      </c>
      <c r="C358" s="46"/>
      <c r="D358" s="46"/>
      <c r="E358" s="46"/>
      <c r="F358" s="47"/>
      <c r="G358" s="48"/>
      <c r="H358" s="46"/>
      <c r="I358" s="49"/>
      <c r="J358" s="50"/>
      <c r="K358" s="51"/>
      <c r="L358" s="52">
        <f t="shared" si="69"/>
        <v>31</v>
      </c>
      <c r="M358" s="52">
        <f t="shared" si="69"/>
        <v>31</v>
      </c>
      <c r="N358" s="53"/>
      <c r="O358" s="170"/>
      <c r="P358" s="55">
        <f t="shared" si="66"/>
        <v>0</v>
      </c>
      <c r="Q358" s="171"/>
      <c r="R358" s="56" t="str">
        <f t="shared" si="67"/>
        <v/>
      </c>
      <c r="S358" s="57" t="str">
        <f t="shared" si="68"/>
        <v/>
      </c>
      <c r="T358" s="58"/>
    </row>
    <row r="359" spans="2:20" x14ac:dyDescent="0.35">
      <c r="B359" s="45" t="str">
        <f>IF(J359="","",RANK($J359,$J$9:$J$620,0)+COUNTIF($J$9:J359,$J359)-1)</f>
        <v/>
      </c>
      <c r="C359" s="46"/>
      <c r="D359" s="46"/>
      <c r="E359" s="46"/>
      <c r="F359" s="47"/>
      <c r="G359" s="48"/>
      <c r="H359" s="46"/>
      <c r="I359" s="49"/>
      <c r="J359" s="50"/>
      <c r="K359" s="51"/>
      <c r="L359" s="52">
        <f t="shared" si="69"/>
        <v>31</v>
      </c>
      <c r="M359" s="52">
        <f t="shared" si="69"/>
        <v>31</v>
      </c>
      <c r="N359" s="53"/>
      <c r="O359" s="170"/>
      <c r="P359" s="55">
        <f t="shared" si="66"/>
        <v>0</v>
      </c>
      <c r="Q359" s="171"/>
      <c r="R359" s="56" t="str">
        <f t="shared" si="67"/>
        <v/>
      </c>
      <c r="S359" s="57" t="str">
        <f t="shared" si="68"/>
        <v/>
      </c>
      <c r="T359" s="58"/>
    </row>
    <row r="360" spans="2:20" x14ac:dyDescent="0.35">
      <c r="B360" s="45" t="str">
        <f>IF(J360="","",RANK($J360,$J$9:$J$620,0)+COUNTIF($J$9:J360,$J360)-1)</f>
        <v/>
      </c>
      <c r="C360" s="46"/>
      <c r="D360" s="46"/>
      <c r="E360" s="46"/>
      <c r="F360" s="47"/>
      <c r="G360" s="48"/>
      <c r="H360" s="46"/>
      <c r="I360" s="49"/>
      <c r="J360" s="50"/>
      <c r="K360" s="51"/>
      <c r="L360" s="52">
        <f t="shared" si="69"/>
        <v>31</v>
      </c>
      <c r="M360" s="52">
        <f t="shared" si="69"/>
        <v>31</v>
      </c>
      <c r="N360" s="53"/>
      <c r="O360" s="170"/>
      <c r="P360" s="55">
        <f t="shared" si="66"/>
        <v>0</v>
      </c>
      <c r="Q360" s="171"/>
      <c r="R360" s="56" t="str">
        <f t="shared" si="67"/>
        <v/>
      </c>
      <c r="S360" s="57" t="str">
        <f t="shared" si="68"/>
        <v/>
      </c>
      <c r="T360" s="58"/>
    </row>
    <row r="361" spans="2:20" x14ac:dyDescent="0.35">
      <c r="B361" s="45" t="str">
        <f>IF(J361="","",RANK($J361,$J$9:$J$620,0)+COUNTIF($J$9:J361,$J361)-1)</f>
        <v/>
      </c>
      <c r="C361" s="46"/>
      <c r="D361" s="46"/>
      <c r="E361" s="46"/>
      <c r="F361" s="47"/>
      <c r="G361" s="48"/>
      <c r="H361" s="46"/>
      <c r="I361" s="49"/>
      <c r="J361" s="50"/>
      <c r="K361" s="51"/>
      <c r="L361" s="52">
        <f t="shared" si="69"/>
        <v>31</v>
      </c>
      <c r="M361" s="52">
        <f t="shared" si="69"/>
        <v>31</v>
      </c>
      <c r="N361" s="53"/>
      <c r="O361" s="170"/>
      <c r="P361" s="55">
        <f t="shared" si="66"/>
        <v>0</v>
      </c>
      <c r="Q361" s="171"/>
      <c r="R361" s="56" t="str">
        <f t="shared" si="67"/>
        <v/>
      </c>
      <c r="S361" s="57" t="str">
        <f t="shared" si="68"/>
        <v/>
      </c>
      <c r="T361" s="58"/>
    </row>
    <row r="362" spans="2:20" x14ac:dyDescent="0.35">
      <c r="B362" s="45" t="str">
        <f>IF(J362="","",RANK($J362,$J$9:$J$620,0)+COUNTIF($J$9:J362,$J362)-1)</f>
        <v/>
      </c>
      <c r="C362" s="46"/>
      <c r="D362" s="46"/>
      <c r="E362" s="46"/>
      <c r="F362" s="47"/>
      <c r="G362" s="48"/>
      <c r="H362" s="46"/>
      <c r="I362" s="49"/>
      <c r="J362" s="50"/>
      <c r="K362" s="51"/>
      <c r="L362" s="52">
        <f t="shared" si="69"/>
        <v>31</v>
      </c>
      <c r="M362" s="52">
        <f t="shared" si="69"/>
        <v>31</v>
      </c>
      <c r="N362" s="53"/>
      <c r="O362" s="170"/>
      <c r="P362" s="55">
        <f t="shared" si="66"/>
        <v>0</v>
      </c>
      <c r="Q362" s="171"/>
      <c r="R362" s="56" t="str">
        <f t="shared" si="67"/>
        <v/>
      </c>
      <c r="S362" s="57" t="str">
        <f t="shared" si="68"/>
        <v/>
      </c>
      <c r="T362" s="58"/>
    </row>
    <row r="363" spans="2:20" x14ac:dyDescent="0.35">
      <c r="B363" s="45" t="str">
        <f>IF(J363="","",RANK($J363,$J$9:$J$620,0)+COUNTIF($J$9:J363,$J363)-1)</f>
        <v/>
      </c>
      <c r="C363" s="46"/>
      <c r="D363" s="46"/>
      <c r="E363" s="46"/>
      <c r="F363" s="47"/>
      <c r="G363" s="48"/>
      <c r="H363" s="46"/>
      <c r="I363" s="49"/>
      <c r="J363" s="50"/>
      <c r="K363" s="51"/>
      <c r="L363" s="52">
        <f t="shared" si="69"/>
        <v>31</v>
      </c>
      <c r="M363" s="52">
        <f t="shared" si="69"/>
        <v>31</v>
      </c>
      <c r="N363" s="53"/>
      <c r="O363" s="170"/>
      <c r="P363" s="55">
        <f t="shared" si="66"/>
        <v>0</v>
      </c>
      <c r="Q363" s="171"/>
      <c r="R363" s="56" t="str">
        <f t="shared" si="67"/>
        <v/>
      </c>
      <c r="S363" s="57" t="str">
        <f t="shared" si="68"/>
        <v/>
      </c>
      <c r="T363" s="58"/>
    </row>
    <row r="364" spans="2:20" x14ac:dyDescent="0.35">
      <c r="B364" s="45" t="str">
        <f>IF(J364="","",RANK($J364,$J$9:$J$620,0)+COUNTIF($J$9:J364,$J364)-1)</f>
        <v/>
      </c>
      <c r="C364" s="46"/>
      <c r="D364" s="46"/>
      <c r="E364" s="46"/>
      <c r="F364" s="47"/>
      <c r="G364" s="48"/>
      <c r="H364" s="46"/>
      <c r="I364" s="49"/>
      <c r="J364" s="50"/>
      <c r="K364" s="51"/>
      <c r="L364" s="52">
        <f t="shared" si="69"/>
        <v>31</v>
      </c>
      <c r="M364" s="52">
        <f t="shared" si="69"/>
        <v>31</v>
      </c>
      <c r="N364" s="53"/>
      <c r="O364" s="170"/>
      <c r="P364" s="55">
        <f t="shared" si="66"/>
        <v>0</v>
      </c>
      <c r="Q364" s="171"/>
      <c r="R364" s="56" t="str">
        <f t="shared" si="67"/>
        <v/>
      </c>
      <c r="S364" s="57" t="str">
        <f t="shared" si="68"/>
        <v/>
      </c>
      <c r="T364" s="58"/>
    </row>
    <row r="365" spans="2:20" x14ac:dyDescent="0.35">
      <c r="B365" s="45" t="str">
        <f>IF(J365="","",RANK($J365,$J$9:$J$620,0)+COUNTIF($J$9:J365,$J365)-1)</f>
        <v/>
      </c>
      <c r="C365" s="46"/>
      <c r="D365" s="46"/>
      <c r="E365" s="46"/>
      <c r="F365" s="47"/>
      <c r="G365" s="48"/>
      <c r="H365" s="46"/>
      <c r="I365" s="49"/>
      <c r="J365" s="50"/>
      <c r="K365" s="51"/>
      <c r="L365" s="52">
        <f t="shared" si="69"/>
        <v>31</v>
      </c>
      <c r="M365" s="52">
        <f t="shared" si="69"/>
        <v>31</v>
      </c>
      <c r="N365" s="53"/>
      <c r="O365" s="170"/>
      <c r="P365" s="55">
        <f t="shared" si="66"/>
        <v>0</v>
      </c>
      <c r="Q365" s="171"/>
      <c r="R365" s="56" t="str">
        <f t="shared" si="67"/>
        <v/>
      </c>
      <c r="S365" s="57" t="str">
        <f t="shared" si="68"/>
        <v/>
      </c>
      <c r="T365" s="58"/>
    </row>
    <row r="366" spans="2:20" x14ac:dyDescent="0.35">
      <c r="B366" s="45" t="str">
        <f>IF(J366="","",RANK($J366,$J$9:$J$620,0)+COUNTIF($J$9:J366,$J366)-1)</f>
        <v/>
      </c>
      <c r="C366" s="46"/>
      <c r="D366" s="46"/>
      <c r="E366" s="46"/>
      <c r="F366" s="47"/>
      <c r="G366" s="48"/>
      <c r="H366" s="46"/>
      <c r="I366" s="49"/>
      <c r="J366" s="50"/>
      <c r="K366" s="51"/>
      <c r="L366" s="52">
        <f t="shared" si="69"/>
        <v>31</v>
      </c>
      <c r="M366" s="52">
        <f t="shared" si="69"/>
        <v>31</v>
      </c>
      <c r="N366" s="53"/>
      <c r="O366" s="170"/>
      <c r="P366" s="55">
        <f t="shared" si="66"/>
        <v>0</v>
      </c>
      <c r="Q366" s="171"/>
      <c r="R366" s="56" t="str">
        <f t="shared" si="67"/>
        <v/>
      </c>
      <c r="S366" s="57" t="str">
        <f t="shared" si="68"/>
        <v/>
      </c>
      <c r="T366" s="58"/>
    </row>
    <row r="367" spans="2:20" x14ac:dyDescent="0.35">
      <c r="B367" s="45" t="str">
        <f>IF(J367="","",RANK($J367,$J$9:$J$620,0)+COUNTIF($J$9:J367,$J367)-1)</f>
        <v/>
      </c>
      <c r="C367" s="46"/>
      <c r="D367" s="46"/>
      <c r="E367" s="46"/>
      <c r="F367" s="47"/>
      <c r="G367" s="48"/>
      <c r="H367" s="46"/>
      <c r="I367" s="49"/>
      <c r="J367" s="50"/>
      <c r="K367" s="51"/>
      <c r="L367" s="52">
        <f t="shared" si="69"/>
        <v>31</v>
      </c>
      <c r="M367" s="52">
        <f t="shared" si="69"/>
        <v>31</v>
      </c>
      <c r="N367" s="53"/>
      <c r="O367" s="170"/>
      <c r="P367" s="55">
        <f t="shared" si="66"/>
        <v>0</v>
      </c>
      <c r="Q367" s="171"/>
      <c r="R367" s="56" t="str">
        <f t="shared" si="67"/>
        <v/>
      </c>
      <c r="S367" s="57" t="str">
        <f t="shared" si="68"/>
        <v/>
      </c>
      <c r="T367" s="58"/>
    </row>
    <row r="368" spans="2:20" x14ac:dyDescent="0.35">
      <c r="B368" s="45" t="str">
        <f>IF(J368="","",RANK($J368,$J$9:$J$620,0)+COUNTIF($J$9:J368,$J368)-1)</f>
        <v/>
      </c>
      <c r="C368" s="46"/>
      <c r="D368" s="46"/>
      <c r="E368" s="46"/>
      <c r="F368" s="47"/>
      <c r="G368" s="48"/>
      <c r="H368" s="46"/>
      <c r="I368" s="49"/>
      <c r="J368" s="50"/>
      <c r="K368" s="51"/>
      <c r="L368" s="52">
        <f t="shared" si="69"/>
        <v>31</v>
      </c>
      <c r="M368" s="52">
        <f t="shared" si="69"/>
        <v>31</v>
      </c>
      <c r="N368" s="53"/>
      <c r="O368" s="170"/>
      <c r="P368" s="55">
        <f t="shared" si="66"/>
        <v>0</v>
      </c>
      <c r="Q368" s="171"/>
      <c r="R368" s="56" t="str">
        <f t="shared" si="67"/>
        <v/>
      </c>
      <c r="S368" s="57" t="str">
        <f t="shared" si="68"/>
        <v/>
      </c>
      <c r="T368" s="58"/>
    </row>
    <row r="369" spans="2:20" x14ac:dyDescent="0.35">
      <c r="B369" s="45" t="str">
        <f>IF(J369="","",RANK($J369,$J$9:$J$620,0)+COUNTIF($J$9:J369,$J369)-1)</f>
        <v/>
      </c>
      <c r="C369" s="46"/>
      <c r="D369" s="46"/>
      <c r="E369" s="46"/>
      <c r="F369" s="47"/>
      <c r="G369" s="48"/>
      <c r="H369" s="46"/>
      <c r="I369" s="49"/>
      <c r="J369" s="50"/>
      <c r="K369" s="51"/>
      <c r="L369" s="52">
        <f t="shared" si="69"/>
        <v>31</v>
      </c>
      <c r="M369" s="52">
        <f t="shared" si="69"/>
        <v>31</v>
      </c>
      <c r="N369" s="53"/>
      <c r="O369" s="170"/>
      <c r="P369" s="55">
        <f t="shared" si="66"/>
        <v>0</v>
      </c>
      <c r="Q369" s="171"/>
      <c r="R369" s="56" t="str">
        <f t="shared" si="67"/>
        <v/>
      </c>
      <c r="S369" s="57" t="str">
        <f t="shared" si="68"/>
        <v/>
      </c>
      <c r="T369" s="58"/>
    </row>
    <row r="370" spans="2:20" x14ac:dyDescent="0.35">
      <c r="B370" s="45" t="str">
        <f>IF(J370="","",RANK($J370,$J$9:$J$620,0)+COUNTIF($J$9:J370,$J370)-1)</f>
        <v/>
      </c>
      <c r="C370" s="46"/>
      <c r="D370" s="46"/>
      <c r="E370" s="46"/>
      <c r="F370" s="47"/>
      <c r="G370" s="48"/>
      <c r="H370" s="46"/>
      <c r="I370" s="49"/>
      <c r="J370" s="50"/>
      <c r="K370" s="51"/>
      <c r="L370" s="52">
        <f t="shared" si="69"/>
        <v>31</v>
      </c>
      <c r="M370" s="52">
        <f t="shared" si="69"/>
        <v>31</v>
      </c>
      <c r="N370" s="53"/>
      <c r="O370" s="170"/>
      <c r="P370" s="55">
        <f t="shared" si="66"/>
        <v>0</v>
      </c>
      <c r="Q370" s="171"/>
      <c r="R370" s="56" t="str">
        <f t="shared" si="67"/>
        <v/>
      </c>
      <c r="S370" s="57" t="str">
        <f t="shared" si="68"/>
        <v/>
      </c>
      <c r="T370" s="58"/>
    </row>
    <row r="371" spans="2:20" x14ac:dyDescent="0.35">
      <c r="B371" s="45" t="str">
        <f>IF(J371="","",RANK($J371,$J$9:$J$620,0)+COUNTIF($J$9:J371,$J371)-1)</f>
        <v/>
      </c>
      <c r="C371" s="46"/>
      <c r="D371" s="46"/>
      <c r="E371" s="46"/>
      <c r="F371" s="47"/>
      <c r="G371" s="48"/>
      <c r="H371" s="46"/>
      <c r="I371" s="49"/>
      <c r="J371" s="50"/>
      <c r="K371" s="51"/>
      <c r="L371" s="52">
        <f t="shared" si="69"/>
        <v>31</v>
      </c>
      <c r="M371" s="52">
        <f t="shared" si="69"/>
        <v>31</v>
      </c>
      <c r="N371" s="53"/>
      <c r="O371" s="170"/>
      <c r="P371" s="55">
        <f t="shared" si="66"/>
        <v>0</v>
      </c>
      <c r="Q371" s="171"/>
      <c r="R371" s="56" t="str">
        <f t="shared" si="67"/>
        <v/>
      </c>
      <c r="S371" s="57" t="str">
        <f t="shared" si="68"/>
        <v/>
      </c>
      <c r="T371" s="58"/>
    </row>
    <row r="372" spans="2:20" x14ac:dyDescent="0.35">
      <c r="B372" s="45" t="str">
        <f>IF(J372="","",RANK($J372,$J$9:$J$620,0)+COUNTIF($J$9:J372,$J372)-1)</f>
        <v/>
      </c>
      <c r="C372" s="46"/>
      <c r="D372" s="46"/>
      <c r="E372" s="46"/>
      <c r="F372" s="47"/>
      <c r="G372" s="48"/>
      <c r="H372" s="46"/>
      <c r="I372" s="49"/>
      <c r="J372" s="50"/>
      <c r="K372" s="51"/>
      <c r="L372" s="52">
        <f t="shared" si="69"/>
        <v>31</v>
      </c>
      <c r="M372" s="52">
        <f t="shared" si="69"/>
        <v>31</v>
      </c>
      <c r="N372" s="53"/>
      <c r="O372" s="170"/>
      <c r="P372" s="55">
        <f t="shared" si="66"/>
        <v>0</v>
      </c>
      <c r="Q372" s="171"/>
      <c r="R372" s="56" t="str">
        <f t="shared" si="67"/>
        <v/>
      </c>
      <c r="S372" s="57" t="str">
        <f t="shared" si="68"/>
        <v/>
      </c>
      <c r="T372" s="58"/>
    </row>
    <row r="373" spans="2:20" x14ac:dyDescent="0.35">
      <c r="B373" s="45" t="str">
        <f>IF(J373="","",RANK($J373,$J$9:$J$620,0)+COUNTIF($J$9:J373,$J373)-1)</f>
        <v/>
      </c>
      <c r="C373" s="46"/>
      <c r="D373" s="46"/>
      <c r="E373" s="46"/>
      <c r="F373" s="47"/>
      <c r="G373" s="48"/>
      <c r="H373" s="46"/>
      <c r="I373" s="49"/>
      <c r="J373" s="50"/>
      <c r="K373" s="51"/>
      <c r="L373" s="52">
        <f t="shared" si="69"/>
        <v>31</v>
      </c>
      <c r="M373" s="52">
        <f t="shared" si="69"/>
        <v>31</v>
      </c>
      <c r="N373" s="53"/>
      <c r="O373" s="170"/>
      <c r="P373" s="55">
        <f t="shared" si="66"/>
        <v>0</v>
      </c>
      <c r="Q373" s="171"/>
      <c r="R373" s="56" t="str">
        <f t="shared" si="67"/>
        <v/>
      </c>
      <c r="S373" s="57" t="str">
        <f t="shared" si="68"/>
        <v/>
      </c>
      <c r="T373" s="58"/>
    </row>
    <row r="374" spans="2:20" x14ac:dyDescent="0.35">
      <c r="B374" s="45" t="str">
        <f>IF(J374="","",RANK($J374,$J$9:$J$620,0)+COUNTIF($J$9:J374,$J374)-1)</f>
        <v/>
      </c>
      <c r="C374" s="46"/>
      <c r="D374" s="46"/>
      <c r="E374" s="46"/>
      <c r="F374" s="47"/>
      <c r="G374" s="48"/>
      <c r="H374" s="46"/>
      <c r="I374" s="49"/>
      <c r="J374" s="50"/>
      <c r="K374" s="51"/>
      <c r="L374" s="52">
        <f t="shared" si="69"/>
        <v>31</v>
      </c>
      <c r="M374" s="52">
        <f t="shared" si="69"/>
        <v>31</v>
      </c>
      <c r="N374" s="53"/>
      <c r="O374" s="170"/>
      <c r="P374" s="55">
        <f t="shared" si="66"/>
        <v>0</v>
      </c>
      <c r="Q374" s="171"/>
      <c r="R374" s="56" t="str">
        <f t="shared" si="67"/>
        <v/>
      </c>
      <c r="S374" s="57" t="str">
        <f t="shared" si="68"/>
        <v/>
      </c>
      <c r="T374" s="58"/>
    </row>
    <row r="375" spans="2:20" x14ac:dyDescent="0.35">
      <c r="B375" s="45" t="str">
        <f>IF(J375="","",RANK($J375,$J$9:$J$620,0)+COUNTIF($J$9:J375,$J375)-1)</f>
        <v/>
      </c>
      <c r="C375" s="46"/>
      <c r="D375" s="46"/>
      <c r="E375" s="46"/>
      <c r="F375" s="47"/>
      <c r="G375" s="48"/>
      <c r="H375" s="46"/>
      <c r="I375" s="49"/>
      <c r="J375" s="50"/>
      <c r="K375" s="51"/>
      <c r="L375" s="52">
        <f t="shared" si="69"/>
        <v>31</v>
      </c>
      <c r="M375" s="52">
        <f t="shared" si="69"/>
        <v>31</v>
      </c>
      <c r="N375" s="53"/>
      <c r="O375" s="170"/>
      <c r="P375" s="55">
        <f t="shared" si="66"/>
        <v>0</v>
      </c>
      <c r="Q375" s="171"/>
      <c r="R375" s="56" t="str">
        <f t="shared" si="67"/>
        <v/>
      </c>
      <c r="S375" s="57" t="str">
        <f t="shared" si="68"/>
        <v/>
      </c>
      <c r="T375" s="58"/>
    </row>
    <row r="376" spans="2:20" x14ac:dyDescent="0.35">
      <c r="B376" s="45" t="str">
        <f>IF(J376="","",RANK($J376,$J$9:$J$620,0)+COUNTIF($J$9:J376,$J376)-1)</f>
        <v/>
      </c>
      <c r="C376" s="46"/>
      <c r="D376" s="46"/>
      <c r="E376" s="46"/>
      <c r="F376" s="47"/>
      <c r="G376" s="48"/>
      <c r="H376" s="46"/>
      <c r="I376" s="49"/>
      <c r="J376" s="50"/>
      <c r="K376" s="51"/>
      <c r="L376" s="52">
        <f t="shared" si="69"/>
        <v>31</v>
      </c>
      <c r="M376" s="52">
        <f t="shared" si="69"/>
        <v>31</v>
      </c>
      <c r="N376" s="53"/>
      <c r="O376" s="170"/>
      <c r="P376" s="55">
        <f t="shared" si="66"/>
        <v>0</v>
      </c>
      <c r="Q376" s="171"/>
      <c r="R376" s="56" t="str">
        <f t="shared" si="67"/>
        <v/>
      </c>
      <c r="S376" s="57" t="str">
        <f t="shared" si="68"/>
        <v/>
      </c>
      <c r="T376" s="58"/>
    </row>
    <row r="377" spans="2:20" x14ac:dyDescent="0.35">
      <c r="B377" s="45" t="str">
        <f>IF(J377="","",RANK($J377,$J$9:$J$620,0)+COUNTIF($J$9:J377,$J377)-1)</f>
        <v/>
      </c>
      <c r="C377" s="46"/>
      <c r="D377" s="46"/>
      <c r="E377" s="46"/>
      <c r="F377" s="47"/>
      <c r="G377" s="48"/>
      <c r="H377" s="46"/>
      <c r="I377" s="49"/>
      <c r="J377" s="50"/>
      <c r="K377" s="51"/>
      <c r="L377" s="52">
        <f t="shared" si="69"/>
        <v>31</v>
      </c>
      <c r="M377" s="52">
        <f t="shared" si="69"/>
        <v>31</v>
      </c>
      <c r="N377" s="53"/>
      <c r="O377" s="170"/>
      <c r="P377" s="55">
        <f t="shared" si="66"/>
        <v>0</v>
      </c>
      <c r="Q377" s="171"/>
      <c r="R377" s="56" t="str">
        <f t="shared" si="67"/>
        <v/>
      </c>
      <c r="S377" s="57" t="str">
        <f t="shared" si="68"/>
        <v/>
      </c>
      <c r="T377" s="58"/>
    </row>
    <row r="378" spans="2:20" x14ac:dyDescent="0.35">
      <c r="B378" s="45" t="str">
        <f>IF(J378="","",RANK($J378,$J$9:$J$620,0)+COUNTIF($J$9:J378,$J378)-1)</f>
        <v/>
      </c>
      <c r="C378" s="46"/>
      <c r="D378" s="46"/>
      <c r="E378" s="46"/>
      <c r="F378" s="47"/>
      <c r="G378" s="48"/>
      <c r="H378" s="46"/>
      <c r="I378" s="49"/>
      <c r="J378" s="50"/>
      <c r="K378" s="51"/>
      <c r="L378" s="52">
        <f t="shared" si="69"/>
        <v>31</v>
      </c>
      <c r="M378" s="52">
        <f t="shared" si="69"/>
        <v>31</v>
      </c>
      <c r="N378" s="53"/>
      <c r="O378" s="170"/>
      <c r="P378" s="55">
        <f t="shared" si="66"/>
        <v>0</v>
      </c>
      <c r="Q378" s="171"/>
      <c r="R378" s="56" t="str">
        <f t="shared" si="67"/>
        <v/>
      </c>
      <c r="S378" s="57" t="str">
        <f t="shared" si="68"/>
        <v/>
      </c>
      <c r="T378" s="58"/>
    </row>
    <row r="379" spans="2:20" x14ac:dyDescent="0.35">
      <c r="B379" s="45" t="str">
        <f>IF(J379="","",RANK($J379,$J$9:$J$620,0)+COUNTIF($J$9:J379,$J379)-1)</f>
        <v/>
      </c>
      <c r="C379" s="46"/>
      <c r="D379" s="46"/>
      <c r="E379" s="46"/>
      <c r="F379" s="47"/>
      <c r="G379" s="48"/>
      <c r="H379" s="46"/>
      <c r="I379" s="49"/>
      <c r="J379" s="50"/>
      <c r="K379" s="51"/>
      <c r="L379" s="52">
        <f t="shared" si="69"/>
        <v>31</v>
      </c>
      <c r="M379" s="52">
        <f t="shared" si="69"/>
        <v>31</v>
      </c>
      <c r="N379" s="53"/>
      <c r="O379" s="170"/>
      <c r="P379" s="55">
        <f t="shared" si="66"/>
        <v>0</v>
      </c>
      <c r="Q379" s="171"/>
      <c r="R379" s="56" t="str">
        <f t="shared" si="67"/>
        <v/>
      </c>
      <c r="S379" s="57" t="str">
        <f t="shared" si="68"/>
        <v/>
      </c>
      <c r="T379" s="58"/>
    </row>
    <row r="380" spans="2:20" x14ac:dyDescent="0.35">
      <c r="B380" s="45" t="str">
        <f>IF(J380="","",RANK($J380,$J$9:$J$620,0)+COUNTIF($J$9:J380,$J380)-1)</f>
        <v/>
      </c>
      <c r="C380" s="46"/>
      <c r="D380" s="46"/>
      <c r="E380" s="46"/>
      <c r="F380" s="47"/>
      <c r="G380" s="48"/>
      <c r="H380" s="46"/>
      <c r="I380" s="49"/>
      <c r="J380" s="50"/>
      <c r="K380" s="51"/>
      <c r="L380" s="52">
        <f t="shared" si="69"/>
        <v>31</v>
      </c>
      <c r="M380" s="52">
        <f t="shared" si="69"/>
        <v>31</v>
      </c>
      <c r="N380" s="53"/>
      <c r="O380" s="170"/>
      <c r="P380" s="55">
        <f t="shared" si="66"/>
        <v>0</v>
      </c>
      <c r="Q380" s="171"/>
      <c r="R380" s="56" t="str">
        <f t="shared" si="67"/>
        <v/>
      </c>
      <c r="S380" s="57" t="str">
        <f t="shared" si="68"/>
        <v/>
      </c>
      <c r="T380" s="58"/>
    </row>
    <row r="381" spans="2:20" x14ac:dyDescent="0.35">
      <c r="B381" s="45" t="str">
        <f>IF(J381="","",RANK($J381,$J$9:$J$620,0)+COUNTIF($J$9:J381,$J381)-1)</f>
        <v/>
      </c>
      <c r="C381" s="46"/>
      <c r="D381" s="46"/>
      <c r="E381" s="46"/>
      <c r="F381" s="47"/>
      <c r="G381" s="48"/>
      <c r="H381" s="46"/>
      <c r="I381" s="49"/>
      <c r="J381" s="50"/>
      <c r="K381" s="51"/>
      <c r="L381" s="52">
        <f t="shared" si="69"/>
        <v>31</v>
      </c>
      <c r="M381" s="52">
        <f t="shared" si="69"/>
        <v>31</v>
      </c>
      <c r="N381" s="53"/>
      <c r="O381" s="170"/>
      <c r="P381" s="55">
        <f t="shared" si="66"/>
        <v>0</v>
      </c>
      <c r="Q381" s="171"/>
      <c r="R381" s="56" t="str">
        <f t="shared" si="67"/>
        <v/>
      </c>
      <c r="S381" s="57" t="str">
        <f t="shared" si="68"/>
        <v/>
      </c>
      <c r="T381" s="58"/>
    </row>
    <row r="382" spans="2:20" x14ac:dyDescent="0.35">
      <c r="B382" s="45" t="str">
        <f>IF(J382="","",RANK($J382,$J$9:$J$620,0)+COUNTIF($J$9:J382,$J382)-1)</f>
        <v/>
      </c>
      <c r="C382" s="46"/>
      <c r="D382" s="46"/>
      <c r="E382" s="46"/>
      <c r="F382" s="47"/>
      <c r="G382" s="48"/>
      <c r="H382" s="46"/>
      <c r="I382" s="49"/>
      <c r="J382" s="50"/>
      <c r="K382" s="51"/>
      <c r="L382" s="52">
        <f t="shared" si="69"/>
        <v>31</v>
      </c>
      <c r="M382" s="52">
        <f t="shared" si="69"/>
        <v>31</v>
      </c>
      <c r="N382" s="53"/>
      <c r="O382" s="170"/>
      <c r="P382" s="55">
        <f t="shared" si="66"/>
        <v>0</v>
      </c>
      <c r="Q382" s="171"/>
      <c r="R382" s="56" t="str">
        <f t="shared" si="67"/>
        <v/>
      </c>
      <c r="S382" s="57" t="str">
        <f t="shared" si="68"/>
        <v/>
      </c>
      <c r="T382" s="58"/>
    </row>
    <row r="383" spans="2:20" x14ac:dyDescent="0.35">
      <c r="B383" s="45" t="str">
        <f>IF(J383="","",RANK($J383,$J$9:$J$620,0)+COUNTIF($J$9:J383,$J383)-1)</f>
        <v/>
      </c>
      <c r="C383" s="46"/>
      <c r="D383" s="46"/>
      <c r="E383" s="46"/>
      <c r="F383" s="47"/>
      <c r="G383" s="48"/>
      <c r="H383" s="46"/>
      <c r="I383" s="49"/>
      <c r="J383" s="50"/>
      <c r="K383" s="51"/>
      <c r="L383" s="52">
        <f t="shared" si="69"/>
        <v>31</v>
      </c>
      <c r="M383" s="52">
        <f t="shared" si="69"/>
        <v>31</v>
      </c>
      <c r="N383" s="53"/>
      <c r="O383" s="170"/>
      <c r="P383" s="55">
        <f t="shared" si="66"/>
        <v>0</v>
      </c>
      <c r="Q383" s="171"/>
      <c r="R383" s="56" t="str">
        <f t="shared" si="67"/>
        <v/>
      </c>
      <c r="S383" s="57" t="str">
        <f t="shared" si="68"/>
        <v/>
      </c>
      <c r="T383" s="58"/>
    </row>
    <row r="384" spans="2:20" x14ac:dyDescent="0.35">
      <c r="B384" s="45" t="str">
        <f>IF(J384="","",RANK($J384,$J$9:$J$620,0)+COUNTIF($J$9:J384,$J384)-1)</f>
        <v/>
      </c>
      <c r="C384" s="46"/>
      <c r="D384" s="46"/>
      <c r="E384" s="46"/>
      <c r="F384" s="47"/>
      <c r="G384" s="48"/>
      <c r="H384" s="46"/>
      <c r="I384" s="49"/>
      <c r="J384" s="50"/>
      <c r="K384" s="51"/>
      <c r="L384" s="52">
        <f t="shared" si="69"/>
        <v>31</v>
      </c>
      <c r="M384" s="52">
        <f t="shared" si="69"/>
        <v>31</v>
      </c>
      <c r="N384" s="53"/>
      <c r="O384" s="170"/>
      <c r="P384" s="55">
        <f t="shared" si="66"/>
        <v>0</v>
      </c>
      <c r="Q384" s="171"/>
      <c r="R384" s="56" t="str">
        <f t="shared" si="67"/>
        <v/>
      </c>
      <c r="S384" s="57" t="str">
        <f t="shared" si="68"/>
        <v/>
      </c>
      <c r="T384" s="58"/>
    </row>
    <row r="385" spans="2:20" x14ac:dyDescent="0.35">
      <c r="B385" s="45" t="str">
        <f>IF(J385="","",RANK($J385,$J$9:$J$620,0)+COUNTIF($J$9:J385,$J385)-1)</f>
        <v/>
      </c>
      <c r="C385" s="46"/>
      <c r="D385" s="46"/>
      <c r="E385" s="46"/>
      <c r="F385" s="47"/>
      <c r="G385" s="48"/>
      <c r="H385" s="46"/>
      <c r="I385" s="49"/>
      <c r="J385" s="50"/>
      <c r="K385" s="51"/>
      <c r="L385" s="52">
        <f t="shared" si="69"/>
        <v>31</v>
      </c>
      <c r="M385" s="52">
        <f t="shared" si="69"/>
        <v>31</v>
      </c>
      <c r="N385" s="53"/>
      <c r="O385" s="170"/>
      <c r="P385" s="55">
        <f t="shared" si="66"/>
        <v>0</v>
      </c>
      <c r="Q385" s="171"/>
      <c r="R385" s="56" t="str">
        <f t="shared" si="67"/>
        <v/>
      </c>
      <c r="S385" s="57" t="str">
        <f t="shared" si="68"/>
        <v/>
      </c>
      <c r="T385" s="58"/>
    </row>
    <row r="386" spans="2:20" x14ac:dyDescent="0.35">
      <c r="B386" s="45" t="str">
        <f>IF(J386="","",RANK($J386,$J$9:$J$620,0)+COUNTIF($J$9:J386,$J386)-1)</f>
        <v/>
      </c>
      <c r="C386" s="46"/>
      <c r="D386" s="46"/>
      <c r="E386" s="46"/>
      <c r="F386" s="47"/>
      <c r="G386" s="48"/>
      <c r="H386" s="46"/>
      <c r="I386" s="49"/>
      <c r="J386" s="50"/>
      <c r="K386" s="51"/>
      <c r="L386" s="52">
        <f t="shared" si="69"/>
        <v>31</v>
      </c>
      <c r="M386" s="52">
        <f t="shared" si="69"/>
        <v>31</v>
      </c>
      <c r="N386" s="53"/>
      <c r="O386" s="170"/>
      <c r="P386" s="55">
        <f t="shared" si="66"/>
        <v>0</v>
      </c>
      <c r="Q386" s="171"/>
      <c r="R386" s="56" t="str">
        <f t="shared" si="67"/>
        <v/>
      </c>
      <c r="S386" s="57" t="str">
        <f t="shared" si="68"/>
        <v/>
      </c>
      <c r="T386" s="58"/>
    </row>
    <row r="387" spans="2:20" x14ac:dyDescent="0.35">
      <c r="B387" s="45" t="str">
        <f>IF(J387="","",RANK($J387,$J$9:$J$620,0)+COUNTIF($J$9:J387,$J387)-1)</f>
        <v/>
      </c>
      <c r="C387" s="46"/>
      <c r="D387" s="46"/>
      <c r="E387" s="46"/>
      <c r="F387" s="47"/>
      <c r="G387" s="48"/>
      <c r="H387" s="46"/>
      <c r="I387" s="49"/>
      <c r="J387" s="50"/>
      <c r="K387" s="51"/>
      <c r="L387" s="52">
        <f t="shared" si="69"/>
        <v>31</v>
      </c>
      <c r="M387" s="52">
        <f t="shared" si="69"/>
        <v>31</v>
      </c>
      <c r="N387" s="53"/>
      <c r="O387" s="170"/>
      <c r="P387" s="55">
        <f t="shared" si="66"/>
        <v>0</v>
      </c>
      <c r="Q387" s="171"/>
      <c r="R387" s="56" t="str">
        <f t="shared" si="67"/>
        <v/>
      </c>
      <c r="S387" s="57" t="str">
        <f t="shared" si="68"/>
        <v/>
      </c>
      <c r="T387" s="58"/>
    </row>
    <row r="388" spans="2:20" x14ac:dyDescent="0.35">
      <c r="B388" s="45" t="str">
        <f>IF(J388="","",RANK($J388,$J$9:$J$620,0)+COUNTIF($J$9:J388,$J388)-1)</f>
        <v/>
      </c>
      <c r="C388" s="46"/>
      <c r="D388" s="46"/>
      <c r="E388" s="46"/>
      <c r="F388" s="47"/>
      <c r="G388" s="48"/>
      <c r="H388" s="46"/>
      <c r="I388" s="49"/>
      <c r="J388" s="50"/>
      <c r="K388" s="51"/>
      <c r="L388" s="52">
        <f t="shared" si="69"/>
        <v>31</v>
      </c>
      <c r="M388" s="52">
        <f t="shared" si="69"/>
        <v>31</v>
      </c>
      <c r="N388" s="53"/>
      <c r="O388" s="170"/>
      <c r="P388" s="55">
        <f t="shared" si="66"/>
        <v>0</v>
      </c>
      <c r="Q388" s="171"/>
      <c r="R388" s="56" t="str">
        <f t="shared" si="67"/>
        <v/>
      </c>
      <c r="S388" s="57" t="str">
        <f t="shared" si="68"/>
        <v/>
      </c>
      <c r="T388" s="58"/>
    </row>
    <row r="389" spans="2:20" x14ac:dyDescent="0.35">
      <c r="B389" s="45" t="str">
        <f>IF(J389="","",RANK($J389,$J$9:$J$620,0)+COUNTIF($J$9:J389,$J389)-1)</f>
        <v/>
      </c>
      <c r="C389" s="46"/>
      <c r="D389" s="46"/>
      <c r="E389" s="46"/>
      <c r="F389" s="47"/>
      <c r="G389" s="48"/>
      <c r="H389" s="46"/>
      <c r="I389" s="49"/>
      <c r="J389" s="50"/>
      <c r="K389" s="51"/>
      <c r="L389" s="52">
        <f t="shared" si="69"/>
        <v>31</v>
      </c>
      <c r="M389" s="52">
        <f t="shared" si="69"/>
        <v>31</v>
      </c>
      <c r="N389" s="53"/>
      <c r="O389" s="170"/>
      <c r="P389" s="55">
        <f t="shared" si="66"/>
        <v>0</v>
      </c>
      <c r="Q389" s="171"/>
      <c r="R389" s="56" t="str">
        <f t="shared" si="67"/>
        <v/>
      </c>
      <c r="S389" s="57" t="str">
        <f t="shared" si="68"/>
        <v/>
      </c>
      <c r="T389" s="58"/>
    </row>
    <row r="390" spans="2:20" x14ac:dyDescent="0.35">
      <c r="B390" s="45" t="str">
        <f>IF(J390="","",RANK($J390,$J$9:$J$620,0)+COUNTIF($J$9:J390,$J390)-1)</f>
        <v/>
      </c>
      <c r="C390" s="46"/>
      <c r="D390" s="46"/>
      <c r="E390" s="46"/>
      <c r="F390" s="47"/>
      <c r="G390" s="48"/>
      <c r="H390" s="46"/>
      <c r="I390" s="49"/>
      <c r="J390" s="50"/>
      <c r="K390" s="51"/>
      <c r="L390" s="52">
        <f t="shared" si="69"/>
        <v>31</v>
      </c>
      <c r="M390" s="52">
        <f t="shared" si="69"/>
        <v>31</v>
      </c>
      <c r="N390" s="53"/>
      <c r="O390" s="170"/>
      <c r="P390" s="55">
        <f t="shared" si="66"/>
        <v>0</v>
      </c>
      <c r="Q390" s="171"/>
      <c r="R390" s="56" t="str">
        <f t="shared" si="67"/>
        <v/>
      </c>
      <c r="S390" s="57" t="str">
        <f t="shared" si="68"/>
        <v/>
      </c>
      <c r="T390" s="58"/>
    </row>
    <row r="391" spans="2:20" x14ac:dyDescent="0.35">
      <c r="B391" s="45" t="str">
        <f>IF(J391="","",RANK($J391,$J$9:$J$620,0)+COUNTIF($J$9:J391,$J391)-1)</f>
        <v/>
      </c>
      <c r="C391" s="46"/>
      <c r="D391" s="46"/>
      <c r="E391" s="46"/>
      <c r="F391" s="47"/>
      <c r="G391" s="48"/>
      <c r="H391" s="46"/>
      <c r="I391" s="49"/>
      <c r="J391" s="50"/>
      <c r="K391" s="51"/>
      <c r="L391" s="52">
        <f t="shared" si="69"/>
        <v>31</v>
      </c>
      <c r="M391" s="52">
        <f t="shared" si="69"/>
        <v>31</v>
      </c>
      <c r="N391" s="53"/>
      <c r="O391" s="170"/>
      <c r="P391" s="55">
        <f t="shared" si="66"/>
        <v>0</v>
      </c>
      <c r="Q391" s="171"/>
      <c r="R391" s="56" t="str">
        <f t="shared" si="67"/>
        <v/>
      </c>
      <c r="S391" s="57" t="str">
        <f t="shared" si="68"/>
        <v/>
      </c>
      <c r="T391" s="58"/>
    </row>
    <row r="392" spans="2:20" x14ac:dyDescent="0.35">
      <c r="B392" s="45" t="str">
        <f>IF(J392="","",RANK($J392,$J$9:$J$620,0)+COUNTIF($J$9:J392,$J392)-1)</f>
        <v/>
      </c>
      <c r="C392" s="46"/>
      <c r="D392" s="46"/>
      <c r="E392" s="46"/>
      <c r="F392" s="47"/>
      <c r="G392" s="48"/>
      <c r="H392" s="46"/>
      <c r="I392" s="49"/>
      <c r="J392" s="50"/>
      <c r="K392" s="51"/>
      <c r="L392" s="52">
        <f t="shared" si="69"/>
        <v>31</v>
      </c>
      <c r="M392" s="52">
        <f t="shared" si="69"/>
        <v>31</v>
      </c>
      <c r="N392" s="53"/>
      <c r="O392" s="170"/>
      <c r="P392" s="55">
        <f t="shared" si="66"/>
        <v>0</v>
      </c>
      <c r="Q392" s="171"/>
      <c r="R392" s="56" t="str">
        <f t="shared" si="67"/>
        <v/>
      </c>
      <c r="S392" s="57" t="str">
        <f t="shared" si="68"/>
        <v/>
      </c>
      <c r="T392" s="58"/>
    </row>
    <row r="393" spans="2:20" x14ac:dyDescent="0.35">
      <c r="B393" s="45" t="str">
        <f>IF(J393="","",RANK($J393,$J$9:$J$620,0)+COUNTIF($J$9:J393,$J393)-1)</f>
        <v/>
      </c>
      <c r="C393" s="46"/>
      <c r="D393" s="46"/>
      <c r="E393" s="46"/>
      <c r="F393" s="47"/>
      <c r="G393" s="48"/>
      <c r="H393" s="46"/>
      <c r="I393" s="49"/>
      <c r="J393" s="50"/>
      <c r="K393" s="51"/>
      <c r="L393" s="52">
        <f t="shared" si="69"/>
        <v>31</v>
      </c>
      <c r="M393" s="52">
        <f t="shared" si="69"/>
        <v>31</v>
      </c>
      <c r="N393" s="53"/>
      <c r="O393" s="170"/>
      <c r="P393" s="55">
        <f t="shared" ref="P393:P436" si="70">VLOOKUP(F393,$V$8:$AP$43,COLUMNS($V$9:$AB$9),0)</f>
        <v>0</v>
      </c>
      <c r="Q393" s="171"/>
      <c r="R393" s="56" t="str">
        <f t="shared" si="67"/>
        <v/>
      </c>
      <c r="S393" s="57" t="str">
        <f t="shared" si="68"/>
        <v/>
      </c>
      <c r="T393" s="58"/>
    </row>
    <row r="394" spans="2:20" x14ac:dyDescent="0.35">
      <c r="B394" s="45" t="str">
        <f>IF(J394="","",RANK($J394,$J$9:$J$620,0)+COUNTIF($J$9:J394,$J394)-1)</f>
        <v/>
      </c>
      <c r="C394" s="46"/>
      <c r="D394" s="46"/>
      <c r="E394" s="46"/>
      <c r="F394" s="47"/>
      <c r="G394" s="48"/>
      <c r="H394" s="46"/>
      <c r="I394" s="49"/>
      <c r="J394" s="50"/>
      <c r="K394" s="51"/>
      <c r="L394" s="52">
        <f t="shared" si="69"/>
        <v>31</v>
      </c>
      <c r="M394" s="52">
        <f t="shared" si="69"/>
        <v>31</v>
      </c>
      <c r="N394" s="53"/>
      <c r="O394" s="170"/>
      <c r="P394" s="55">
        <f t="shared" si="70"/>
        <v>0</v>
      </c>
      <c r="Q394" s="171"/>
      <c r="R394" s="56" t="str">
        <f t="shared" ref="R394:R457" si="71">IF(I394="","",IF(($G$5-I394)/365&gt;1.5,"Renewed Lease","New Lease"))</f>
        <v/>
      </c>
      <c r="S394" s="57" t="str">
        <f t="shared" ref="S394:S457" si="72">IF(Q394="","",IFERROR(1-Q394/P394,""))</f>
        <v/>
      </c>
      <c r="T394" s="58"/>
    </row>
    <row r="395" spans="2:20" x14ac:dyDescent="0.35">
      <c r="B395" s="45" t="str">
        <f>IF(J395="","",RANK($J395,$J$9:$J$620,0)+COUNTIF($J$9:J395,$J395)-1)</f>
        <v/>
      </c>
      <c r="C395" s="46"/>
      <c r="D395" s="46"/>
      <c r="E395" s="46"/>
      <c r="F395" s="47"/>
      <c r="G395" s="48"/>
      <c r="H395" s="46"/>
      <c r="I395" s="49"/>
      <c r="J395" s="50"/>
      <c r="K395" s="51"/>
      <c r="L395" s="52">
        <f t="shared" si="69"/>
        <v>31</v>
      </c>
      <c r="M395" s="52">
        <f t="shared" si="69"/>
        <v>31</v>
      </c>
      <c r="N395" s="53"/>
      <c r="O395" s="170"/>
      <c r="P395" s="55">
        <f t="shared" si="70"/>
        <v>0</v>
      </c>
      <c r="Q395" s="171"/>
      <c r="R395" s="56" t="str">
        <f t="shared" si="71"/>
        <v/>
      </c>
      <c r="S395" s="57" t="str">
        <f t="shared" si="72"/>
        <v/>
      </c>
      <c r="T395" s="58"/>
    </row>
    <row r="396" spans="2:20" x14ac:dyDescent="0.35">
      <c r="B396" s="45" t="str">
        <f>IF(J396="","",RANK($J396,$J$9:$J$620,0)+COUNTIF($J$9:J396,$J396)-1)</f>
        <v/>
      </c>
      <c r="C396" s="46"/>
      <c r="D396" s="46"/>
      <c r="E396" s="46"/>
      <c r="F396" s="47"/>
      <c r="G396" s="48"/>
      <c r="H396" s="46"/>
      <c r="I396" s="49"/>
      <c r="J396" s="50"/>
      <c r="K396" s="51"/>
      <c r="L396" s="52">
        <f t="shared" si="69"/>
        <v>31</v>
      </c>
      <c r="M396" s="52">
        <f t="shared" si="69"/>
        <v>31</v>
      </c>
      <c r="N396" s="53"/>
      <c r="O396" s="170"/>
      <c r="P396" s="55">
        <f t="shared" si="70"/>
        <v>0</v>
      </c>
      <c r="Q396" s="171"/>
      <c r="R396" s="56" t="str">
        <f t="shared" si="71"/>
        <v/>
      </c>
      <c r="S396" s="57" t="str">
        <f t="shared" si="72"/>
        <v/>
      </c>
      <c r="T396" s="58"/>
    </row>
    <row r="397" spans="2:20" x14ac:dyDescent="0.35">
      <c r="B397" s="45" t="str">
        <f>IF(J397="","",RANK($J397,$J$9:$J$620,0)+COUNTIF($J$9:J397,$J397)-1)</f>
        <v/>
      </c>
      <c r="C397" s="46"/>
      <c r="D397" s="46"/>
      <c r="E397" s="46"/>
      <c r="F397" s="47"/>
      <c r="G397" s="48"/>
      <c r="H397" s="46"/>
      <c r="I397" s="49"/>
      <c r="J397" s="50"/>
      <c r="K397" s="51"/>
      <c r="L397" s="52">
        <f t="shared" si="69"/>
        <v>31</v>
      </c>
      <c r="M397" s="52">
        <f t="shared" si="69"/>
        <v>31</v>
      </c>
      <c r="N397" s="53"/>
      <c r="O397" s="170"/>
      <c r="P397" s="55">
        <f t="shared" si="70"/>
        <v>0</v>
      </c>
      <c r="Q397" s="171"/>
      <c r="R397" s="56" t="str">
        <f t="shared" si="71"/>
        <v/>
      </c>
      <c r="S397" s="57" t="str">
        <f t="shared" si="72"/>
        <v/>
      </c>
      <c r="T397" s="58"/>
    </row>
    <row r="398" spans="2:20" x14ac:dyDescent="0.35">
      <c r="B398" s="45" t="str">
        <f>IF(J398="","",RANK($J398,$J$9:$J$620,0)+COUNTIF($J$9:J398,$J398)-1)</f>
        <v/>
      </c>
      <c r="C398" s="46"/>
      <c r="D398" s="46"/>
      <c r="E398" s="46"/>
      <c r="F398" s="47"/>
      <c r="G398" s="48"/>
      <c r="H398" s="46"/>
      <c r="I398" s="49"/>
      <c r="J398" s="50"/>
      <c r="K398" s="51"/>
      <c r="L398" s="52">
        <f t="shared" si="69"/>
        <v>31</v>
      </c>
      <c r="M398" s="52">
        <f t="shared" si="69"/>
        <v>31</v>
      </c>
      <c r="N398" s="53"/>
      <c r="O398" s="170"/>
      <c r="P398" s="55">
        <f t="shared" si="70"/>
        <v>0</v>
      </c>
      <c r="Q398" s="171"/>
      <c r="R398" s="56" t="str">
        <f t="shared" si="71"/>
        <v/>
      </c>
      <c r="S398" s="57" t="str">
        <f t="shared" si="72"/>
        <v/>
      </c>
      <c r="T398" s="58"/>
    </row>
    <row r="399" spans="2:20" x14ac:dyDescent="0.35">
      <c r="B399" s="45" t="str">
        <f>IF(J399="","",RANK($J399,$J$9:$J$620,0)+COUNTIF($J$9:J399,$J399)-1)</f>
        <v/>
      </c>
      <c r="C399" s="46"/>
      <c r="D399" s="46"/>
      <c r="E399" s="46"/>
      <c r="F399" s="47"/>
      <c r="G399" s="48"/>
      <c r="H399" s="46"/>
      <c r="I399" s="49"/>
      <c r="J399" s="50"/>
      <c r="K399" s="51"/>
      <c r="L399" s="52">
        <f t="shared" si="69"/>
        <v>31</v>
      </c>
      <c r="M399" s="52">
        <f t="shared" si="69"/>
        <v>31</v>
      </c>
      <c r="N399" s="53"/>
      <c r="O399" s="170"/>
      <c r="P399" s="55">
        <f t="shared" si="70"/>
        <v>0</v>
      </c>
      <c r="Q399" s="171"/>
      <c r="R399" s="56" t="str">
        <f t="shared" si="71"/>
        <v/>
      </c>
      <c r="S399" s="57" t="str">
        <f t="shared" si="72"/>
        <v/>
      </c>
      <c r="T399" s="58"/>
    </row>
    <row r="400" spans="2:20" x14ac:dyDescent="0.35">
      <c r="B400" s="45" t="str">
        <f>IF(J400="","",RANK($J400,$J$9:$J$620,0)+COUNTIF($J$9:J400,$J400)-1)</f>
        <v/>
      </c>
      <c r="C400" s="46"/>
      <c r="D400" s="46"/>
      <c r="E400" s="46"/>
      <c r="F400" s="47"/>
      <c r="G400" s="48"/>
      <c r="H400" s="46"/>
      <c r="I400" s="49"/>
      <c r="J400" s="50"/>
      <c r="K400" s="51"/>
      <c r="L400" s="52">
        <f t="shared" si="69"/>
        <v>31</v>
      </c>
      <c r="M400" s="52">
        <f t="shared" si="69"/>
        <v>31</v>
      </c>
      <c r="N400" s="53"/>
      <c r="O400" s="170"/>
      <c r="P400" s="55">
        <f t="shared" si="70"/>
        <v>0</v>
      </c>
      <c r="Q400" s="171"/>
      <c r="R400" s="56" t="str">
        <f t="shared" si="71"/>
        <v/>
      </c>
      <c r="S400" s="57" t="str">
        <f t="shared" si="72"/>
        <v/>
      </c>
      <c r="T400" s="58"/>
    </row>
    <row r="401" spans="2:20" x14ac:dyDescent="0.35">
      <c r="B401" s="45" t="str">
        <f>IF(J401="","",RANK($J401,$J$9:$J$620,0)+COUNTIF($J$9:J401,$J401)-1)</f>
        <v/>
      </c>
      <c r="C401" s="46"/>
      <c r="D401" s="46"/>
      <c r="E401" s="46"/>
      <c r="F401" s="47"/>
      <c r="G401" s="48"/>
      <c r="H401" s="46"/>
      <c r="I401" s="49"/>
      <c r="J401" s="50"/>
      <c r="K401" s="51"/>
      <c r="L401" s="52">
        <f t="shared" si="69"/>
        <v>31</v>
      </c>
      <c r="M401" s="52">
        <f t="shared" si="69"/>
        <v>31</v>
      </c>
      <c r="N401" s="53"/>
      <c r="O401" s="170"/>
      <c r="P401" s="55">
        <f t="shared" si="70"/>
        <v>0</v>
      </c>
      <c r="Q401" s="171"/>
      <c r="R401" s="56" t="str">
        <f t="shared" si="71"/>
        <v/>
      </c>
      <c r="S401" s="57" t="str">
        <f t="shared" si="72"/>
        <v/>
      </c>
      <c r="T401" s="58"/>
    </row>
    <row r="402" spans="2:20" x14ac:dyDescent="0.35">
      <c r="B402" s="45" t="str">
        <f>IF(J402="","",RANK($J402,$J$9:$J$620,0)+COUNTIF($J$9:J402,$J402)-1)</f>
        <v/>
      </c>
      <c r="C402" s="46"/>
      <c r="D402" s="46"/>
      <c r="E402" s="46"/>
      <c r="F402" s="47"/>
      <c r="G402" s="48"/>
      <c r="H402" s="46"/>
      <c r="I402" s="49"/>
      <c r="J402" s="50"/>
      <c r="K402" s="51"/>
      <c r="L402" s="52">
        <f t="shared" ref="L402:M465" si="73">EOMONTH(J402,0)</f>
        <v>31</v>
      </c>
      <c r="M402" s="52">
        <f t="shared" si="73"/>
        <v>31</v>
      </c>
      <c r="N402" s="53"/>
      <c r="O402" s="170"/>
      <c r="P402" s="55">
        <f t="shared" si="70"/>
        <v>0</v>
      </c>
      <c r="Q402" s="171"/>
      <c r="R402" s="56" t="str">
        <f t="shared" si="71"/>
        <v/>
      </c>
      <c r="S402" s="57" t="str">
        <f t="shared" si="72"/>
        <v/>
      </c>
      <c r="T402" s="58"/>
    </row>
    <row r="403" spans="2:20" x14ac:dyDescent="0.35">
      <c r="B403" s="45" t="str">
        <f>IF(J403="","",RANK($J403,$J$9:$J$620,0)+COUNTIF($J$9:J403,$J403)-1)</f>
        <v/>
      </c>
      <c r="C403" s="46"/>
      <c r="D403" s="46"/>
      <c r="E403" s="46"/>
      <c r="F403" s="47"/>
      <c r="G403" s="48"/>
      <c r="H403" s="46"/>
      <c r="I403" s="49"/>
      <c r="J403" s="50"/>
      <c r="K403" s="51"/>
      <c r="L403" s="52">
        <f t="shared" si="73"/>
        <v>31</v>
      </c>
      <c r="M403" s="52">
        <f t="shared" si="73"/>
        <v>31</v>
      </c>
      <c r="N403" s="53"/>
      <c r="O403" s="170"/>
      <c r="P403" s="55">
        <f t="shared" si="70"/>
        <v>0</v>
      </c>
      <c r="Q403" s="171"/>
      <c r="R403" s="56" t="str">
        <f t="shared" si="71"/>
        <v/>
      </c>
      <c r="S403" s="57" t="str">
        <f t="shared" si="72"/>
        <v/>
      </c>
      <c r="T403" s="58"/>
    </row>
    <row r="404" spans="2:20" x14ac:dyDescent="0.35">
      <c r="B404" s="45" t="str">
        <f>IF(J404="","",RANK($J404,$J$9:$J$620,0)+COUNTIF($J$9:J404,$J404)-1)</f>
        <v/>
      </c>
      <c r="C404" s="46"/>
      <c r="D404" s="46"/>
      <c r="E404" s="46"/>
      <c r="F404" s="47"/>
      <c r="G404" s="48"/>
      <c r="H404" s="46"/>
      <c r="I404" s="49"/>
      <c r="J404" s="50"/>
      <c r="K404" s="51"/>
      <c r="L404" s="52">
        <f t="shared" si="73"/>
        <v>31</v>
      </c>
      <c r="M404" s="52">
        <f t="shared" si="73"/>
        <v>31</v>
      </c>
      <c r="N404" s="53"/>
      <c r="O404" s="170"/>
      <c r="P404" s="55">
        <f t="shared" si="70"/>
        <v>0</v>
      </c>
      <c r="Q404" s="171"/>
      <c r="R404" s="56" t="str">
        <f t="shared" si="71"/>
        <v/>
      </c>
      <c r="S404" s="57" t="str">
        <f t="shared" si="72"/>
        <v/>
      </c>
      <c r="T404" s="58"/>
    </row>
    <row r="405" spans="2:20" x14ac:dyDescent="0.35">
      <c r="B405" s="45" t="str">
        <f>IF(J405="","",RANK($J405,$J$9:$J$620,0)+COUNTIF($J$9:J405,$J405)-1)</f>
        <v/>
      </c>
      <c r="C405" s="46"/>
      <c r="D405" s="46"/>
      <c r="E405" s="46"/>
      <c r="F405" s="47"/>
      <c r="G405" s="48"/>
      <c r="H405" s="46"/>
      <c r="I405" s="49"/>
      <c r="J405" s="50"/>
      <c r="K405" s="51"/>
      <c r="L405" s="52">
        <f t="shared" si="73"/>
        <v>31</v>
      </c>
      <c r="M405" s="52">
        <f t="shared" si="73"/>
        <v>31</v>
      </c>
      <c r="N405" s="53"/>
      <c r="O405" s="170"/>
      <c r="P405" s="55">
        <f t="shared" si="70"/>
        <v>0</v>
      </c>
      <c r="Q405" s="171"/>
      <c r="R405" s="56" t="str">
        <f t="shared" si="71"/>
        <v/>
      </c>
      <c r="S405" s="57" t="str">
        <f t="shared" si="72"/>
        <v/>
      </c>
      <c r="T405" s="58"/>
    </row>
    <row r="406" spans="2:20" x14ac:dyDescent="0.35">
      <c r="B406" s="45" t="str">
        <f>IF(J406="","",RANK($J406,$J$9:$J$620,0)+COUNTIF($J$9:J406,$J406)-1)</f>
        <v/>
      </c>
      <c r="C406" s="46"/>
      <c r="D406" s="46"/>
      <c r="E406" s="46"/>
      <c r="F406" s="47"/>
      <c r="G406" s="48"/>
      <c r="H406" s="46"/>
      <c r="I406" s="49"/>
      <c r="J406" s="50"/>
      <c r="K406" s="51"/>
      <c r="L406" s="52">
        <f t="shared" si="73"/>
        <v>31</v>
      </c>
      <c r="M406" s="52">
        <f t="shared" si="73"/>
        <v>31</v>
      </c>
      <c r="N406" s="53"/>
      <c r="O406" s="170"/>
      <c r="P406" s="55">
        <f t="shared" si="70"/>
        <v>0</v>
      </c>
      <c r="Q406" s="171"/>
      <c r="R406" s="56" t="str">
        <f t="shared" si="71"/>
        <v/>
      </c>
      <c r="S406" s="57" t="str">
        <f t="shared" si="72"/>
        <v/>
      </c>
      <c r="T406" s="58"/>
    </row>
    <row r="407" spans="2:20" x14ac:dyDescent="0.35">
      <c r="B407" s="45" t="str">
        <f>IF(J407="","",RANK($J407,$J$9:$J$620,0)+COUNTIF($J$9:J407,$J407)-1)</f>
        <v/>
      </c>
      <c r="C407" s="46"/>
      <c r="D407" s="46"/>
      <c r="E407" s="46"/>
      <c r="F407" s="47"/>
      <c r="G407" s="48"/>
      <c r="H407" s="46"/>
      <c r="I407" s="49"/>
      <c r="J407" s="50"/>
      <c r="K407" s="51"/>
      <c r="L407" s="52">
        <f t="shared" si="73"/>
        <v>31</v>
      </c>
      <c r="M407" s="52">
        <f t="shared" si="73"/>
        <v>31</v>
      </c>
      <c r="N407" s="53"/>
      <c r="O407" s="170"/>
      <c r="P407" s="55">
        <f t="shared" si="70"/>
        <v>0</v>
      </c>
      <c r="Q407" s="171"/>
      <c r="R407" s="56" t="str">
        <f t="shared" si="71"/>
        <v/>
      </c>
      <c r="S407" s="57" t="str">
        <f t="shared" si="72"/>
        <v/>
      </c>
      <c r="T407" s="58"/>
    </row>
    <row r="408" spans="2:20" x14ac:dyDescent="0.35">
      <c r="B408" s="45" t="str">
        <f>IF(J408="","",RANK($J408,$J$9:$J$620,0)+COUNTIF($J$9:J408,$J408)-1)</f>
        <v/>
      </c>
      <c r="C408" s="46"/>
      <c r="D408" s="46"/>
      <c r="E408" s="46"/>
      <c r="F408" s="47"/>
      <c r="G408" s="48"/>
      <c r="H408" s="46"/>
      <c r="I408" s="49"/>
      <c r="J408" s="50"/>
      <c r="K408" s="51"/>
      <c r="L408" s="52">
        <f t="shared" si="73"/>
        <v>31</v>
      </c>
      <c r="M408" s="52">
        <f t="shared" si="73"/>
        <v>31</v>
      </c>
      <c r="N408" s="53"/>
      <c r="O408" s="170"/>
      <c r="P408" s="55">
        <f t="shared" si="70"/>
        <v>0</v>
      </c>
      <c r="Q408" s="171"/>
      <c r="R408" s="56" t="str">
        <f t="shared" si="71"/>
        <v/>
      </c>
      <c r="S408" s="57" t="str">
        <f t="shared" si="72"/>
        <v/>
      </c>
      <c r="T408" s="58"/>
    </row>
    <row r="409" spans="2:20" x14ac:dyDescent="0.35">
      <c r="B409" s="45" t="str">
        <f>IF(J409="","",RANK($J409,$J$9:$J$620,0)+COUNTIF($J$9:J409,$J409)-1)</f>
        <v/>
      </c>
      <c r="C409" s="46"/>
      <c r="D409" s="46"/>
      <c r="E409" s="46"/>
      <c r="F409" s="47"/>
      <c r="G409" s="48"/>
      <c r="H409" s="46"/>
      <c r="I409" s="49"/>
      <c r="J409" s="50"/>
      <c r="K409" s="51"/>
      <c r="L409" s="52">
        <f t="shared" si="73"/>
        <v>31</v>
      </c>
      <c r="M409" s="52">
        <f t="shared" si="73"/>
        <v>31</v>
      </c>
      <c r="N409" s="53"/>
      <c r="O409" s="170"/>
      <c r="P409" s="55">
        <f t="shared" si="70"/>
        <v>0</v>
      </c>
      <c r="Q409" s="171"/>
      <c r="R409" s="56" t="str">
        <f t="shared" si="71"/>
        <v/>
      </c>
      <c r="S409" s="57" t="str">
        <f t="shared" si="72"/>
        <v/>
      </c>
      <c r="T409" s="58"/>
    </row>
    <row r="410" spans="2:20" x14ac:dyDescent="0.35">
      <c r="B410" s="45" t="str">
        <f>IF(J410="","",RANK($J410,$J$9:$J$620,0)+COUNTIF($J$9:J410,$J410)-1)</f>
        <v/>
      </c>
      <c r="C410" s="46"/>
      <c r="D410" s="46"/>
      <c r="E410" s="46"/>
      <c r="F410" s="47"/>
      <c r="G410" s="48"/>
      <c r="H410" s="46"/>
      <c r="I410" s="49"/>
      <c r="J410" s="50"/>
      <c r="K410" s="51"/>
      <c r="L410" s="52">
        <f t="shared" si="73"/>
        <v>31</v>
      </c>
      <c r="M410" s="52">
        <f t="shared" si="73"/>
        <v>31</v>
      </c>
      <c r="N410" s="53"/>
      <c r="O410" s="170"/>
      <c r="P410" s="55">
        <f t="shared" si="70"/>
        <v>0</v>
      </c>
      <c r="Q410" s="171"/>
      <c r="R410" s="56" t="str">
        <f t="shared" si="71"/>
        <v/>
      </c>
      <c r="S410" s="57" t="str">
        <f t="shared" si="72"/>
        <v/>
      </c>
      <c r="T410" s="58"/>
    </row>
    <row r="411" spans="2:20" x14ac:dyDescent="0.35">
      <c r="B411" s="45" t="str">
        <f>IF(J411="","",RANK($J411,$J$9:$J$620,0)+COUNTIF($J$9:J411,$J411)-1)</f>
        <v/>
      </c>
      <c r="C411" s="46"/>
      <c r="D411" s="46"/>
      <c r="E411" s="46"/>
      <c r="F411" s="47"/>
      <c r="G411" s="48"/>
      <c r="H411" s="46"/>
      <c r="I411" s="49"/>
      <c r="J411" s="50"/>
      <c r="K411" s="51"/>
      <c r="L411" s="52">
        <f t="shared" si="73"/>
        <v>31</v>
      </c>
      <c r="M411" s="52">
        <f t="shared" si="73"/>
        <v>31</v>
      </c>
      <c r="N411" s="53"/>
      <c r="O411" s="170"/>
      <c r="P411" s="55">
        <f t="shared" si="70"/>
        <v>0</v>
      </c>
      <c r="Q411" s="171"/>
      <c r="R411" s="56" t="str">
        <f t="shared" si="71"/>
        <v/>
      </c>
      <c r="S411" s="57" t="str">
        <f t="shared" si="72"/>
        <v/>
      </c>
      <c r="T411" s="58"/>
    </row>
    <row r="412" spans="2:20" x14ac:dyDescent="0.35">
      <c r="B412" s="45" t="str">
        <f>IF(J412="","",RANK($J412,$J$9:$J$620,0)+COUNTIF($J$9:J412,$J412)-1)</f>
        <v/>
      </c>
      <c r="C412" s="46"/>
      <c r="D412" s="46"/>
      <c r="E412" s="46"/>
      <c r="F412" s="47"/>
      <c r="G412" s="48"/>
      <c r="H412" s="46"/>
      <c r="I412" s="49"/>
      <c r="J412" s="50"/>
      <c r="K412" s="51"/>
      <c r="L412" s="52">
        <f t="shared" si="73"/>
        <v>31</v>
      </c>
      <c r="M412" s="52">
        <f t="shared" si="73"/>
        <v>31</v>
      </c>
      <c r="N412" s="53"/>
      <c r="O412" s="170"/>
      <c r="P412" s="55">
        <f t="shared" si="70"/>
        <v>0</v>
      </c>
      <c r="Q412" s="171"/>
      <c r="R412" s="56" t="str">
        <f t="shared" si="71"/>
        <v/>
      </c>
      <c r="S412" s="57" t="str">
        <f t="shared" si="72"/>
        <v/>
      </c>
      <c r="T412" s="58"/>
    </row>
    <row r="413" spans="2:20" x14ac:dyDescent="0.35">
      <c r="B413" s="45" t="str">
        <f>IF(J413="","",RANK($J413,$J$9:$J$620,0)+COUNTIF($J$9:J413,$J413)-1)</f>
        <v/>
      </c>
      <c r="C413" s="46"/>
      <c r="D413" s="46"/>
      <c r="E413" s="46"/>
      <c r="F413" s="47"/>
      <c r="G413" s="48"/>
      <c r="H413" s="46"/>
      <c r="I413" s="49"/>
      <c r="J413" s="50"/>
      <c r="K413" s="51"/>
      <c r="L413" s="52">
        <f t="shared" si="73"/>
        <v>31</v>
      </c>
      <c r="M413" s="52">
        <f t="shared" si="73"/>
        <v>31</v>
      </c>
      <c r="N413" s="53"/>
      <c r="O413" s="170"/>
      <c r="P413" s="55">
        <f t="shared" si="70"/>
        <v>0</v>
      </c>
      <c r="Q413" s="171"/>
      <c r="R413" s="56" t="str">
        <f t="shared" si="71"/>
        <v/>
      </c>
      <c r="S413" s="57" t="str">
        <f t="shared" si="72"/>
        <v/>
      </c>
      <c r="T413" s="58"/>
    </row>
    <row r="414" spans="2:20" x14ac:dyDescent="0.35">
      <c r="B414" s="45" t="str">
        <f>IF(J414="","",RANK($J414,$J$9:$J$620,0)+COUNTIF($J$9:J414,$J414)-1)</f>
        <v/>
      </c>
      <c r="C414" s="46"/>
      <c r="D414" s="46"/>
      <c r="E414" s="46"/>
      <c r="F414" s="47"/>
      <c r="G414" s="48"/>
      <c r="H414" s="46"/>
      <c r="I414" s="49"/>
      <c r="J414" s="50"/>
      <c r="K414" s="51"/>
      <c r="L414" s="52">
        <f t="shared" si="73"/>
        <v>31</v>
      </c>
      <c r="M414" s="52">
        <f t="shared" si="73"/>
        <v>31</v>
      </c>
      <c r="N414" s="53"/>
      <c r="O414" s="170"/>
      <c r="P414" s="55">
        <f t="shared" si="70"/>
        <v>0</v>
      </c>
      <c r="Q414" s="171"/>
      <c r="R414" s="56" t="str">
        <f t="shared" si="71"/>
        <v/>
      </c>
      <c r="S414" s="57" t="str">
        <f t="shared" si="72"/>
        <v/>
      </c>
      <c r="T414" s="58"/>
    </row>
    <row r="415" spans="2:20" x14ac:dyDescent="0.35">
      <c r="B415" s="45" t="str">
        <f>IF(J415="","",RANK($J415,$J$9:$J$620,0)+COUNTIF($J$9:J415,$J415)-1)</f>
        <v/>
      </c>
      <c r="C415" s="46"/>
      <c r="D415" s="46"/>
      <c r="E415" s="46"/>
      <c r="F415" s="47"/>
      <c r="G415" s="48"/>
      <c r="H415" s="46"/>
      <c r="I415" s="49"/>
      <c r="J415" s="50"/>
      <c r="K415" s="51"/>
      <c r="L415" s="52">
        <f t="shared" si="73"/>
        <v>31</v>
      </c>
      <c r="M415" s="52">
        <f t="shared" si="73"/>
        <v>31</v>
      </c>
      <c r="N415" s="53"/>
      <c r="O415" s="170"/>
      <c r="P415" s="55">
        <f t="shared" si="70"/>
        <v>0</v>
      </c>
      <c r="Q415" s="171"/>
      <c r="R415" s="56" t="str">
        <f t="shared" si="71"/>
        <v/>
      </c>
      <c r="S415" s="57" t="str">
        <f t="shared" si="72"/>
        <v/>
      </c>
      <c r="T415" s="58"/>
    </row>
    <row r="416" spans="2:20" x14ac:dyDescent="0.35">
      <c r="B416" s="45" t="str">
        <f>IF(J416="","",RANK($J416,$J$9:$J$620,0)+COUNTIF($J$9:J416,$J416)-1)</f>
        <v/>
      </c>
      <c r="C416" s="46"/>
      <c r="D416" s="46"/>
      <c r="E416" s="46"/>
      <c r="F416" s="47"/>
      <c r="G416" s="48"/>
      <c r="H416" s="46"/>
      <c r="I416" s="49"/>
      <c r="J416" s="50"/>
      <c r="K416" s="51"/>
      <c r="L416" s="52">
        <f t="shared" si="73"/>
        <v>31</v>
      </c>
      <c r="M416" s="52">
        <f t="shared" si="73"/>
        <v>31</v>
      </c>
      <c r="N416" s="53"/>
      <c r="O416" s="170"/>
      <c r="P416" s="55">
        <f t="shared" si="70"/>
        <v>0</v>
      </c>
      <c r="Q416" s="171"/>
      <c r="R416" s="56" t="str">
        <f t="shared" si="71"/>
        <v/>
      </c>
      <c r="S416" s="57" t="str">
        <f t="shared" si="72"/>
        <v/>
      </c>
      <c r="T416" s="58"/>
    </row>
    <row r="417" spans="2:20" x14ac:dyDescent="0.35">
      <c r="B417" s="45" t="str">
        <f>IF(J417="","",RANK($J417,$J$9:$J$620,0)+COUNTIF($J$9:J417,$J417)-1)</f>
        <v/>
      </c>
      <c r="C417" s="46"/>
      <c r="D417" s="46"/>
      <c r="E417" s="46"/>
      <c r="F417" s="47"/>
      <c r="G417" s="48"/>
      <c r="H417" s="46"/>
      <c r="I417" s="49"/>
      <c r="J417" s="50"/>
      <c r="K417" s="51"/>
      <c r="L417" s="52">
        <f t="shared" si="73"/>
        <v>31</v>
      </c>
      <c r="M417" s="52">
        <f t="shared" si="73"/>
        <v>31</v>
      </c>
      <c r="N417" s="53"/>
      <c r="O417" s="170"/>
      <c r="P417" s="55">
        <f t="shared" si="70"/>
        <v>0</v>
      </c>
      <c r="Q417" s="171"/>
      <c r="R417" s="56" t="str">
        <f t="shared" si="71"/>
        <v/>
      </c>
      <c r="S417" s="57" t="str">
        <f t="shared" si="72"/>
        <v/>
      </c>
      <c r="T417" s="58"/>
    </row>
    <row r="418" spans="2:20" x14ac:dyDescent="0.35">
      <c r="B418" s="45" t="str">
        <f>IF(J418="","",RANK($J418,$J$9:$J$620,0)+COUNTIF($J$9:J418,$J418)-1)</f>
        <v/>
      </c>
      <c r="C418" s="46"/>
      <c r="D418" s="46"/>
      <c r="E418" s="46"/>
      <c r="F418" s="47"/>
      <c r="G418" s="48"/>
      <c r="H418" s="46"/>
      <c r="I418" s="49"/>
      <c r="J418" s="50"/>
      <c r="K418" s="51"/>
      <c r="L418" s="52">
        <f t="shared" si="73"/>
        <v>31</v>
      </c>
      <c r="M418" s="52">
        <f t="shared" si="73"/>
        <v>31</v>
      </c>
      <c r="N418" s="53"/>
      <c r="O418" s="170"/>
      <c r="P418" s="55">
        <f t="shared" si="70"/>
        <v>0</v>
      </c>
      <c r="Q418" s="171"/>
      <c r="R418" s="56" t="str">
        <f t="shared" si="71"/>
        <v/>
      </c>
      <c r="S418" s="57" t="str">
        <f t="shared" si="72"/>
        <v/>
      </c>
      <c r="T418" s="58"/>
    </row>
    <row r="419" spans="2:20" x14ac:dyDescent="0.35">
      <c r="B419" s="45" t="str">
        <f>IF(J419="","",RANK($J419,$J$9:$J$620,0)+COUNTIF($J$9:J419,$J419)-1)</f>
        <v/>
      </c>
      <c r="C419" s="46"/>
      <c r="D419" s="46"/>
      <c r="E419" s="46"/>
      <c r="F419" s="47"/>
      <c r="G419" s="48"/>
      <c r="H419" s="46"/>
      <c r="I419" s="49"/>
      <c r="J419" s="50"/>
      <c r="K419" s="51"/>
      <c r="L419" s="52">
        <f t="shared" si="73"/>
        <v>31</v>
      </c>
      <c r="M419" s="52">
        <f t="shared" si="73"/>
        <v>31</v>
      </c>
      <c r="N419" s="53"/>
      <c r="O419" s="170"/>
      <c r="P419" s="55">
        <f t="shared" si="70"/>
        <v>0</v>
      </c>
      <c r="Q419" s="171"/>
      <c r="R419" s="56" t="str">
        <f t="shared" si="71"/>
        <v/>
      </c>
      <c r="S419" s="57" t="str">
        <f t="shared" si="72"/>
        <v/>
      </c>
      <c r="T419" s="58"/>
    </row>
    <row r="420" spans="2:20" x14ac:dyDescent="0.35">
      <c r="B420" s="45" t="str">
        <f>IF(J420="","",RANK($J420,$J$9:$J$620,0)+COUNTIF($J$9:J420,$J420)-1)</f>
        <v/>
      </c>
      <c r="C420" s="46"/>
      <c r="D420" s="46"/>
      <c r="E420" s="46"/>
      <c r="F420" s="47"/>
      <c r="G420" s="48"/>
      <c r="H420" s="46"/>
      <c r="I420" s="49"/>
      <c r="J420" s="50"/>
      <c r="K420" s="51"/>
      <c r="L420" s="52">
        <f t="shared" si="73"/>
        <v>31</v>
      </c>
      <c r="M420" s="52">
        <f t="shared" si="73"/>
        <v>31</v>
      </c>
      <c r="N420" s="53"/>
      <c r="O420" s="170"/>
      <c r="P420" s="55">
        <f t="shared" si="70"/>
        <v>0</v>
      </c>
      <c r="Q420" s="171"/>
      <c r="R420" s="56" t="str">
        <f t="shared" si="71"/>
        <v/>
      </c>
      <c r="S420" s="57" t="str">
        <f t="shared" si="72"/>
        <v/>
      </c>
      <c r="T420" s="58"/>
    </row>
    <row r="421" spans="2:20" x14ac:dyDescent="0.35">
      <c r="B421" s="45" t="str">
        <f>IF(J421="","",RANK($J421,$J$9:$J$620,0)+COUNTIF($J$9:J421,$J421)-1)</f>
        <v/>
      </c>
      <c r="C421" s="46"/>
      <c r="D421" s="46"/>
      <c r="E421" s="46"/>
      <c r="F421" s="47"/>
      <c r="G421" s="48"/>
      <c r="H421" s="46"/>
      <c r="I421" s="49"/>
      <c r="J421" s="50"/>
      <c r="K421" s="51"/>
      <c r="L421" s="52">
        <f t="shared" si="73"/>
        <v>31</v>
      </c>
      <c r="M421" s="52">
        <f t="shared" si="73"/>
        <v>31</v>
      </c>
      <c r="N421" s="53"/>
      <c r="O421" s="170"/>
      <c r="P421" s="55">
        <f t="shared" si="70"/>
        <v>0</v>
      </c>
      <c r="Q421" s="171"/>
      <c r="R421" s="56" t="str">
        <f t="shared" si="71"/>
        <v/>
      </c>
      <c r="S421" s="57" t="str">
        <f t="shared" si="72"/>
        <v/>
      </c>
      <c r="T421" s="58"/>
    </row>
    <row r="422" spans="2:20" x14ac:dyDescent="0.35">
      <c r="B422" s="45" t="str">
        <f>IF(J422="","",RANK($J422,$J$9:$J$620,0)+COUNTIF($J$9:J422,$J422)-1)</f>
        <v/>
      </c>
      <c r="C422" s="46"/>
      <c r="D422" s="46"/>
      <c r="E422" s="46"/>
      <c r="F422" s="47"/>
      <c r="G422" s="48"/>
      <c r="H422" s="46"/>
      <c r="I422" s="49"/>
      <c r="J422" s="50"/>
      <c r="K422" s="51"/>
      <c r="L422" s="52">
        <f t="shared" si="73"/>
        <v>31</v>
      </c>
      <c r="M422" s="52">
        <f t="shared" si="73"/>
        <v>31</v>
      </c>
      <c r="N422" s="53"/>
      <c r="O422" s="170"/>
      <c r="P422" s="55">
        <f t="shared" si="70"/>
        <v>0</v>
      </c>
      <c r="Q422" s="171"/>
      <c r="R422" s="56" t="str">
        <f t="shared" si="71"/>
        <v/>
      </c>
      <c r="S422" s="57" t="str">
        <f t="shared" si="72"/>
        <v/>
      </c>
      <c r="T422" s="58"/>
    </row>
    <row r="423" spans="2:20" x14ac:dyDescent="0.35">
      <c r="B423" s="45" t="str">
        <f>IF(J423="","",RANK($J423,$J$9:$J$620,0)+COUNTIF($J$9:J423,$J423)-1)</f>
        <v/>
      </c>
      <c r="C423" s="46"/>
      <c r="D423" s="46"/>
      <c r="E423" s="46"/>
      <c r="F423" s="47"/>
      <c r="G423" s="48"/>
      <c r="H423" s="46"/>
      <c r="I423" s="49"/>
      <c r="J423" s="50"/>
      <c r="K423" s="51"/>
      <c r="L423" s="52">
        <f t="shared" si="73"/>
        <v>31</v>
      </c>
      <c r="M423" s="52">
        <f t="shared" si="73"/>
        <v>31</v>
      </c>
      <c r="N423" s="53"/>
      <c r="O423" s="170"/>
      <c r="P423" s="55">
        <f t="shared" si="70"/>
        <v>0</v>
      </c>
      <c r="Q423" s="171"/>
      <c r="R423" s="56" t="str">
        <f t="shared" si="71"/>
        <v/>
      </c>
      <c r="S423" s="57" t="str">
        <f t="shared" si="72"/>
        <v/>
      </c>
      <c r="T423" s="58"/>
    </row>
    <row r="424" spans="2:20" x14ac:dyDescent="0.35">
      <c r="B424" s="45" t="str">
        <f>IF(J424="","",RANK($J424,$J$9:$J$620,0)+COUNTIF($J$9:J424,$J424)-1)</f>
        <v/>
      </c>
      <c r="C424" s="46"/>
      <c r="D424" s="46"/>
      <c r="E424" s="46"/>
      <c r="F424" s="47"/>
      <c r="G424" s="48"/>
      <c r="H424" s="46"/>
      <c r="I424" s="49"/>
      <c r="J424" s="50"/>
      <c r="K424" s="51"/>
      <c r="L424" s="52">
        <f t="shared" si="73"/>
        <v>31</v>
      </c>
      <c r="M424" s="52">
        <f t="shared" si="73"/>
        <v>31</v>
      </c>
      <c r="N424" s="53"/>
      <c r="O424" s="170"/>
      <c r="P424" s="55">
        <f t="shared" si="70"/>
        <v>0</v>
      </c>
      <c r="Q424" s="171"/>
      <c r="R424" s="56" t="str">
        <f t="shared" si="71"/>
        <v/>
      </c>
      <c r="S424" s="57" t="str">
        <f t="shared" si="72"/>
        <v/>
      </c>
      <c r="T424" s="58"/>
    </row>
    <row r="425" spans="2:20" x14ac:dyDescent="0.35">
      <c r="B425" s="45" t="str">
        <f>IF(J425="","",RANK($J425,$J$9:$J$620,0)+COUNTIF($J$9:J425,$J425)-1)</f>
        <v/>
      </c>
      <c r="C425" s="46"/>
      <c r="D425" s="46"/>
      <c r="E425" s="46"/>
      <c r="F425" s="47"/>
      <c r="G425" s="48"/>
      <c r="H425" s="46"/>
      <c r="I425" s="49"/>
      <c r="J425" s="50"/>
      <c r="K425" s="51"/>
      <c r="L425" s="52">
        <f t="shared" si="73"/>
        <v>31</v>
      </c>
      <c r="M425" s="52">
        <f t="shared" si="73"/>
        <v>31</v>
      </c>
      <c r="N425" s="53"/>
      <c r="O425" s="170"/>
      <c r="P425" s="55">
        <f t="shared" si="70"/>
        <v>0</v>
      </c>
      <c r="Q425" s="171"/>
      <c r="R425" s="56" t="str">
        <f t="shared" si="71"/>
        <v/>
      </c>
      <c r="S425" s="57" t="str">
        <f t="shared" si="72"/>
        <v/>
      </c>
      <c r="T425" s="58"/>
    </row>
    <row r="426" spans="2:20" x14ac:dyDescent="0.35">
      <c r="B426" s="45" t="str">
        <f>IF(J426="","",RANK($J426,$J$9:$J$620,0)+COUNTIF($J$9:J426,$J426)-1)</f>
        <v/>
      </c>
      <c r="C426" s="46"/>
      <c r="D426" s="46"/>
      <c r="E426" s="46"/>
      <c r="F426" s="47"/>
      <c r="G426" s="48"/>
      <c r="H426" s="46"/>
      <c r="I426" s="49"/>
      <c r="J426" s="50"/>
      <c r="K426" s="51"/>
      <c r="L426" s="52">
        <f t="shared" si="73"/>
        <v>31</v>
      </c>
      <c r="M426" s="52">
        <f t="shared" si="73"/>
        <v>31</v>
      </c>
      <c r="N426" s="53"/>
      <c r="O426" s="170"/>
      <c r="P426" s="55">
        <f t="shared" si="70"/>
        <v>0</v>
      </c>
      <c r="Q426" s="171"/>
      <c r="R426" s="56" t="str">
        <f t="shared" si="71"/>
        <v/>
      </c>
      <c r="S426" s="57" t="str">
        <f t="shared" si="72"/>
        <v/>
      </c>
      <c r="T426" s="58"/>
    </row>
    <row r="427" spans="2:20" x14ac:dyDescent="0.35">
      <c r="B427" s="45" t="str">
        <f>IF(J427="","",RANK($J427,$J$9:$J$620,0)+COUNTIF($J$9:J427,$J427)-1)</f>
        <v/>
      </c>
      <c r="C427" s="46"/>
      <c r="D427" s="46"/>
      <c r="E427" s="46"/>
      <c r="F427" s="47"/>
      <c r="G427" s="48"/>
      <c r="H427" s="46"/>
      <c r="I427" s="49"/>
      <c r="J427" s="50"/>
      <c r="K427" s="51"/>
      <c r="L427" s="52">
        <f t="shared" si="73"/>
        <v>31</v>
      </c>
      <c r="M427" s="52">
        <f t="shared" si="73"/>
        <v>31</v>
      </c>
      <c r="N427" s="53"/>
      <c r="O427" s="170"/>
      <c r="P427" s="55">
        <f t="shared" si="70"/>
        <v>0</v>
      </c>
      <c r="Q427" s="171"/>
      <c r="R427" s="56" t="str">
        <f t="shared" si="71"/>
        <v/>
      </c>
      <c r="S427" s="57" t="str">
        <f t="shared" si="72"/>
        <v/>
      </c>
      <c r="T427" s="58"/>
    </row>
    <row r="428" spans="2:20" x14ac:dyDescent="0.35">
      <c r="B428" s="45" t="str">
        <f>IF(J428="","",RANK($J428,$J$9:$J$620,0)+COUNTIF($J$9:J428,$J428)-1)</f>
        <v/>
      </c>
      <c r="C428" s="46"/>
      <c r="D428" s="46"/>
      <c r="E428" s="46"/>
      <c r="F428" s="47"/>
      <c r="G428" s="48"/>
      <c r="H428" s="46"/>
      <c r="I428" s="49"/>
      <c r="J428" s="50"/>
      <c r="K428" s="51"/>
      <c r="L428" s="52">
        <f t="shared" si="73"/>
        <v>31</v>
      </c>
      <c r="M428" s="52">
        <f t="shared" si="73"/>
        <v>31</v>
      </c>
      <c r="N428" s="53"/>
      <c r="O428" s="170"/>
      <c r="P428" s="55">
        <f t="shared" si="70"/>
        <v>0</v>
      </c>
      <c r="Q428" s="171"/>
      <c r="R428" s="56" t="str">
        <f t="shared" si="71"/>
        <v/>
      </c>
      <c r="S428" s="57" t="str">
        <f t="shared" si="72"/>
        <v/>
      </c>
      <c r="T428" s="58"/>
    </row>
    <row r="429" spans="2:20" x14ac:dyDescent="0.35">
      <c r="B429" s="45" t="str">
        <f>IF(J429="","",RANK($J429,$J$9:$J$620,0)+COUNTIF($J$9:J429,$J429)-1)</f>
        <v/>
      </c>
      <c r="C429" s="46"/>
      <c r="D429" s="46"/>
      <c r="E429" s="46"/>
      <c r="F429" s="47"/>
      <c r="G429" s="48"/>
      <c r="H429" s="46"/>
      <c r="I429" s="49"/>
      <c r="J429" s="50"/>
      <c r="K429" s="51"/>
      <c r="L429" s="52">
        <f t="shared" si="73"/>
        <v>31</v>
      </c>
      <c r="M429" s="52">
        <f t="shared" si="73"/>
        <v>31</v>
      </c>
      <c r="N429" s="53"/>
      <c r="O429" s="170"/>
      <c r="P429" s="55">
        <f t="shared" si="70"/>
        <v>0</v>
      </c>
      <c r="Q429" s="171"/>
      <c r="R429" s="56" t="str">
        <f t="shared" si="71"/>
        <v/>
      </c>
      <c r="S429" s="57" t="str">
        <f t="shared" si="72"/>
        <v/>
      </c>
      <c r="T429" s="58"/>
    </row>
    <row r="430" spans="2:20" x14ac:dyDescent="0.35">
      <c r="B430" s="45" t="str">
        <f>IF(J430="","",RANK($J430,$J$9:$J$620,0)+COUNTIF($J$9:J430,$J430)-1)</f>
        <v/>
      </c>
      <c r="C430" s="46"/>
      <c r="D430" s="46"/>
      <c r="E430" s="46"/>
      <c r="F430" s="47"/>
      <c r="G430" s="48"/>
      <c r="H430" s="46"/>
      <c r="I430" s="49"/>
      <c r="J430" s="50"/>
      <c r="K430" s="51"/>
      <c r="L430" s="52">
        <f t="shared" si="73"/>
        <v>31</v>
      </c>
      <c r="M430" s="52">
        <f t="shared" si="73"/>
        <v>31</v>
      </c>
      <c r="N430" s="53"/>
      <c r="O430" s="170"/>
      <c r="P430" s="55">
        <f t="shared" si="70"/>
        <v>0</v>
      </c>
      <c r="Q430" s="171"/>
      <c r="R430" s="56" t="str">
        <f t="shared" si="71"/>
        <v/>
      </c>
      <c r="S430" s="57" t="str">
        <f t="shared" si="72"/>
        <v/>
      </c>
      <c r="T430" s="58"/>
    </row>
    <row r="431" spans="2:20" x14ac:dyDescent="0.35">
      <c r="B431" s="45" t="str">
        <f>IF(J431="","",RANK($J431,$J$9:$J$620,0)+COUNTIF($J$9:J431,$J431)-1)</f>
        <v/>
      </c>
      <c r="C431" s="46"/>
      <c r="D431" s="46"/>
      <c r="E431" s="46"/>
      <c r="F431" s="47"/>
      <c r="G431" s="48"/>
      <c r="H431" s="46"/>
      <c r="I431" s="49"/>
      <c r="J431" s="50"/>
      <c r="K431" s="51"/>
      <c r="L431" s="52">
        <f t="shared" si="73"/>
        <v>31</v>
      </c>
      <c r="M431" s="52">
        <f t="shared" si="73"/>
        <v>31</v>
      </c>
      <c r="N431" s="53"/>
      <c r="O431" s="170"/>
      <c r="P431" s="55">
        <f t="shared" si="70"/>
        <v>0</v>
      </c>
      <c r="Q431" s="171"/>
      <c r="R431" s="56" t="str">
        <f t="shared" si="71"/>
        <v/>
      </c>
      <c r="S431" s="57" t="str">
        <f t="shared" si="72"/>
        <v/>
      </c>
      <c r="T431" s="58"/>
    </row>
    <row r="432" spans="2:20" x14ac:dyDescent="0.35">
      <c r="B432" s="45" t="str">
        <f>IF(J432="","",RANK($J432,$J$9:$J$620,0)+COUNTIF($J$9:J432,$J432)-1)</f>
        <v/>
      </c>
      <c r="C432" s="46"/>
      <c r="D432" s="46"/>
      <c r="E432" s="46"/>
      <c r="F432" s="47"/>
      <c r="G432" s="48"/>
      <c r="H432" s="46"/>
      <c r="I432" s="49"/>
      <c r="J432" s="50"/>
      <c r="K432" s="51"/>
      <c r="L432" s="52">
        <f t="shared" si="73"/>
        <v>31</v>
      </c>
      <c r="M432" s="52">
        <f t="shared" si="73"/>
        <v>31</v>
      </c>
      <c r="N432" s="53"/>
      <c r="O432" s="170"/>
      <c r="P432" s="55">
        <f t="shared" si="70"/>
        <v>0</v>
      </c>
      <c r="Q432" s="171"/>
      <c r="R432" s="56" t="str">
        <f t="shared" si="71"/>
        <v/>
      </c>
      <c r="S432" s="57" t="str">
        <f t="shared" si="72"/>
        <v/>
      </c>
      <c r="T432" s="58"/>
    </row>
    <row r="433" spans="2:20" x14ac:dyDescent="0.35">
      <c r="B433" s="45" t="str">
        <f>IF(J433="","",RANK($J433,$J$9:$J$620,0)+COUNTIF($J$9:J433,$J433)-1)</f>
        <v/>
      </c>
      <c r="C433" s="46"/>
      <c r="D433" s="46"/>
      <c r="E433" s="46"/>
      <c r="F433" s="47"/>
      <c r="G433" s="48"/>
      <c r="H433" s="46"/>
      <c r="I433" s="49"/>
      <c r="J433" s="50"/>
      <c r="K433" s="51"/>
      <c r="L433" s="52">
        <f t="shared" si="73"/>
        <v>31</v>
      </c>
      <c r="M433" s="52">
        <f t="shared" si="73"/>
        <v>31</v>
      </c>
      <c r="N433" s="53"/>
      <c r="O433" s="170"/>
      <c r="P433" s="55">
        <f t="shared" si="70"/>
        <v>0</v>
      </c>
      <c r="Q433" s="171"/>
      <c r="R433" s="56" t="str">
        <f t="shared" si="71"/>
        <v/>
      </c>
      <c r="S433" s="57" t="str">
        <f t="shared" si="72"/>
        <v/>
      </c>
      <c r="T433" s="58"/>
    </row>
    <row r="434" spans="2:20" x14ac:dyDescent="0.35">
      <c r="B434" s="45" t="str">
        <f>IF(J434="","",RANK($J434,$J$9:$J$620,0)+COUNTIF($J$9:J434,$J434)-1)</f>
        <v/>
      </c>
      <c r="C434" s="46"/>
      <c r="D434" s="46"/>
      <c r="E434" s="46"/>
      <c r="F434" s="47"/>
      <c r="G434" s="48"/>
      <c r="H434" s="46"/>
      <c r="I434" s="49"/>
      <c r="J434" s="50"/>
      <c r="K434" s="51"/>
      <c r="L434" s="52">
        <f t="shared" si="73"/>
        <v>31</v>
      </c>
      <c r="M434" s="52">
        <f t="shared" si="73"/>
        <v>31</v>
      </c>
      <c r="N434" s="53"/>
      <c r="O434" s="170"/>
      <c r="P434" s="55">
        <f t="shared" si="70"/>
        <v>0</v>
      </c>
      <c r="Q434" s="171"/>
      <c r="R434" s="56" t="str">
        <f t="shared" si="71"/>
        <v/>
      </c>
      <c r="S434" s="57" t="str">
        <f t="shared" si="72"/>
        <v/>
      </c>
      <c r="T434" s="58"/>
    </row>
    <row r="435" spans="2:20" x14ac:dyDescent="0.35">
      <c r="B435" s="45" t="str">
        <f>IF(J435="","",RANK($J435,$J$9:$J$620,0)+COUNTIF($J$9:J435,$J435)-1)</f>
        <v/>
      </c>
      <c r="C435" s="46"/>
      <c r="D435" s="46"/>
      <c r="E435" s="46"/>
      <c r="F435" s="47"/>
      <c r="G435" s="48"/>
      <c r="H435" s="46"/>
      <c r="I435" s="49"/>
      <c r="J435" s="50"/>
      <c r="K435" s="51"/>
      <c r="L435" s="52">
        <f t="shared" si="73"/>
        <v>31</v>
      </c>
      <c r="M435" s="52">
        <f t="shared" si="73"/>
        <v>31</v>
      </c>
      <c r="N435" s="53"/>
      <c r="O435" s="170"/>
      <c r="P435" s="55">
        <f t="shared" si="70"/>
        <v>0</v>
      </c>
      <c r="Q435" s="171"/>
      <c r="R435" s="56" t="str">
        <f t="shared" si="71"/>
        <v/>
      </c>
      <c r="S435" s="57" t="str">
        <f t="shared" si="72"/>
        <v/>
      </c>
      <c r="T435" s="58"/>
    </row>
    <row r="436" spans="2:20" x14ac:dyDescent="0.35">
      <c r="B436" s="45" t="str">
        <f>IF(J436="","",RANK($J436,$J$9:$J$620,0)+COUNTIF($J$9:J436,$J436)-1)</f>
        <v/>
      </c>
      <c r="C436" s="46"/>
      <c r="D436" s="46"/>
      <c r="E436" s="46"/>
      <c r="F436" s="47"/>
      <c r="G436" s="48"/>
      <c r="H436" s="46"/>
      <c r="I436" s="49"/>
      <c r="J436" s="50"/>
      <c r="K436" s="51"/>
      <c r="L436" s="52">
        <f t="shared" si="73"/>
        <v>31</v>
      </c>
      <c r="M436" s="52">
        <f t="shared" si="73"/>
        <v>31</v>
      </c>
      <c r="N436" s="53"/>
      <c r="O436" s="170"/>
      <c r="P436" s="55">
        <f t="shared" si="70"/>
        <v>0</v>
      </c>
      <c r="Q436" s="171"/>
      <c r="R436" s="56" t="str">
        <f t="shared" si="71"/>
        <v/>
      </c>
      <c r="S436" s="57" t="str">
        <f t="shared" si="72"/>
        <v/>
      </c>
      <c r="T436" s="58"/>
    </row>
    <row r="437" spans="2:20" x14ac:dyDescent="0.35">
      <c r="B437" s="45" t="str">
        <f>IF(J437="","",RANK($J437,$J$9:$J$620,0)+COUNTIF($J$9:J437,$J437)-1)</f>
        <v/>
      </c>
      <c r="C437" s="46"/>
      <c r="D437" s="46"/>
      <c r="E437" s="46"/>
      <c r="F437" s="47"/>
      <c r="G437" s="48"/>
      <c r="H437" s="46"/>
      <c r="I437" s="49"/>
      <c r="J437" s="50"/>
      <c r="K437" s="51"/>
      <c r="L437" s="52">
        <f t="shared" si="73"/>
        <v>31</v>
      </c>
      <c r="M437" s="52">
        <f t="shared" si="73"/>
        <v>31</v>
      </c>
      <c r="N437" s="53"/>
      <c r="O437" s="170"/>
      <c r="P437" s="55"/>
      <c r="Q437" s="171"/>
      <c r="R437" s="56" t="str">
        <f t="shared" si="71"/>
        <v/>
      </c>
      <c r="S437" s="57" t="str">
        <f t="shared" si="72"/>
        <v/>
      </c>
      <c r="T437" s="58"/>
    </row>
    <row r="438" spans="2:20" x14ac:dyDescent="0.35">
      <c r="B438" s="45" t="str">
        <f>IF(J438="","",RANK($J438,$J$9:$J$620,0)+COUNTIF($J$9:J438,$J438)-1)</f>
        <v/>
      </c>
      <c r="C438" s="46"/>
      <c r="D438" s="46"/>
      <c r="E438" s="46"/>
      <c r="F438" s="47"/>
      <c r="G438" s="48"/>
      <c r="H438" s="46"/>
      <c r="I438" s="49"/>
      <c r="J438" s="50"/>
      <c r="K438" s="51"/>
      <c r="L438" s="52">
        <f t="shared" si="73"/>
        <v>31</v>
      </c>
      <c r="M438" s="52">
        <f t="shared" si="73"/>
        <v>31</v>
      </c>
      <c r="N438" s="53"/>
      <c r="O438" s="170"/>
      <c r="P438" s="55"/>
      <c r="Q438" s="171"/>
      <c r="R438" s="56" t="str">
        <f t="shared" si="71"/>
        <v/>
      </c>
      <c r="S438" s="57" t="str">
        <f t="shared" si="72"/>
        <v/>
      </c>
      <c r="T438" s="58"/>
    </row>
    <row r="439" spans="2:20" x14ac:dyDescent="0.35">
      <c r="B439" s="45" t="str">
        <f>IF(J439="","",RANK($J439,$J$9:$J$620,0)+COUNTIF($J$9:J439,$J439)-1)</f>
        <v/>
      </c>
      <c r="C439" s="46"/>
      <c r="D439" s="46"/>
      <c r="E439" s="46"/>
      <c r="F439" s="47"/>
      <c r="G439" s="48"/>
      <c r="H439" s="46"/>
      <c r="I439" s="49"/>
      <c r="J439" s="50"/>
      <c r="K439" s="51"/>
      <c r="L439" s="52">
        <f t="shared" si="73"/>
        <v>31</v>
      </c>
      <c r="M439" s="52">
        <f t="shared" si="73"/>
        <v>31</v>
      </c>
      <c r="N439" s="53"/>
      <c r="O439" s="170"/>
      <c r="P439" s="55"/>
      <c r="Q439" s="171"/>
      <c r="R439" s="56" t="str">
        <f t="shared" si="71"/>
        <v/>
      </c>
      <c r="S439" s="57" t="str">
        <f t="shared" si="72"/>
        <v/>
      </c>
      <c r="T439" s="58"/>
    </row>
    <row r="440" spans="2:20" x14ac:dyDescent="0.35">
      <c r="B440" s="45" t="str">
        <f>IF(J440="","",RANK($J440,$J$9:$J$620,0)+COUNTIF($J$9:J440,$J440)-1)</f>
        <v/>
      </c>
      <c r="C440" s="46"/>
      <c r="D440" s="46"/>
      <c r="E440" s="46"/>
      <c r="F440" s="47"/>
      <c r="G440" s="48"/>
      <c r="H440" s="46"/>
      <c r="I440" s="49"/>
      <c r="J440" s="50"/>
      <c r="K440" s="51"/>
      <c r="L440" s="52">
        <f t="shared" si="73"/>
        <v>31</v>
      </c>
      <c r="M440" s="52">
        <f t="shared" si="73"/>
        <v>31</v>
      </c>
      <c r="N440" s="53"/>
      <c r="O440" s="170"/>
      <c r="P440" s="55"/>
      <c r="Q440" s="171"/>
      <c r="R440" s="56" t="str">
        <f t="shared" si="71"/>
        <v/>
      </c>
      <c r="S440" s="57" t="str">
        <f t="shared" si="72"/>
        <v/>
      </c>
      <c r="T440" s="58"/>
    </row>
    <row r="441" spans="2:20" x14ac:dyDescent="0.35">
      <c r="B441" s="45" t="str">
        <f>IF(J441="","",RANK($J441,$J$9:$J$620,0)+COUNTIF($J$9:J441,$J441)-1)</f>
        <v/>
      </c>
      <c r="C441" s="46"/>
      <c r="D441" s="46"/>
      <c r="E441" s="46"/>
      <c r="F441" s="47"/>
      <c r="G441" s="48"/>
      <c r="H441" s="46"/>
      <c r="I441" s="49"/>
      <c r="J441" s="50"/>
      <c r="K441" s="51"/>
      <c r="L441" s="52">
        <f t="shared" si="73"/>
        <v>31</v>
      </c>
      <c r="M441" s="52">
        <f t="shared" si="73"/>
        <v>31</v>
      </c>
      <c r="N441" s="53"/>
      <c r="O441" s="170"/>
      <c r="P441" s="55"/>
      <c r="Q441" s="171"/>
      <c r="R441" s="56" t="str">
        <f t="shared" si="71"/>
        <v/>
      </c>
      <c r="S441" s="57" t="str">
        <f t="shared" si="72"/>
        <v/>
      </c>
      <c r="T441" s="58"/>
    </row>
    <row r="442" spans="2:20" x14ac:dyDescent="0.35">
      <c r="B442" s="45" t="str">
        <f>IF(J442="","",RANK($J442,$J$9:$J$620,0)+COUNTIF($J$9:J442,$J442)-1)</f>
        <v/>
      </c>
      <c r="C442" s="46"/>
      <c r="D442" s="46"/>
      <c r="E442" s="46"/>
      <c r="F442" s="47"/>
      <c r="G442" s="48"/>
      <c r="H442" s="46"/>
      <c r="I442" s="49"/>
      <c r="J442" s="50"/>
      <c r="K442" s="51"/>
      <c r="L442" s="52">
        <f t="shared" si="73"/>
        <v>31</v>
      </c>
      <c r="M442" s="52">
        <f t="shared" si="73"/>
        <v>31</v>
      </c>
      <c r="N442" s="53"/>
      <c r="O442" s="170"/>
      <c r="P442" s="55"/>
      <c r="Q442" s="171"/>
      <c r="R442" s="56" t="str">
        <f t="shared" si="71"/>
        <v/>
      </c>
      <c r="S442" s="57" t="str">
        <f t="shared" si="72"/>
        <v/>
      </c>
      <c r="T442" s="58"/>
    </row>
    <row r="443" spans="2:20" x14ac:dyDescent="0.35">
      <c r="B443" s="45" t="str">
        <f>IF(J443="","",RANK($J443,$J$9:$J$620,0)+COUNTIF($J$9:J443,$J443)-1)</f>
        <v/>
      </c>
      <c r="C443" s="46"/>
      <c r="D443" s="46"/>
      <c r="E443" s="46"/>
      <c r="F443" s="47"/>
      <c r="G443" s="48"/>
      <c r="H443" s="46"/>
      <c r="I443" s="49"/>
      <c r="J443" s="50"/>
      <c r="K443" s="51"/>
      <c r="L443" s="52">
        <f t="shared" si="73"/>
        <v>31</v>
      </c>
      <c r="M443" s="52">
        <f t="shared" si="73"/>
        <v>31</v>
      </c>
      <c r="N443" s="53"/>
      <c r="O443" s="170"/>
      <c r="P443" s="55"/>
      <c r="Q443" s="171"/>
      <c r="R443" s="56" t="str">
        <f t="shared" si="71"/>
        <v/>
      </c>
      <c r="S443" s="57" t="str">
        <f t="shared" si="72"/>
        <v/>
      </c>
      <c r="T443" s="58"/>
    </row>
    <row r="444" spans="2:20" x14ac:dyDescent="0.35">
      <c r="B444" s="45" t="str">
        <f>IF(J444="","",RANK($J444,$J$9:$J$620,0)+COUNTIF($J$9:J444,$J444)-1)</f>
        <v/>
      </c>
      <c r="C444" s="46"/>
      <c r="D444" s="46"/>
      <c r="E444" s="46"/>
      <c r="F444" s="47"/>
      <c r="G444" s="48"/>
      <c r="H444" s="46"/>
      <c r="I444" s="49"/>
      <c r="J444" s="50"/>
      <c r="K444" s="51"/>
      <c r="L444" s="52">
        <f t="shared" si="73"/>
        <v>31</v>
      </c>
      <c r="M444" s="52">
        <f t="shared" si="73"/>
        <v>31</v>
      </c>
      <c r="N444" s="53"/>
      <c r="O444" s="170"/>
      <c r="P444" s="55"/>
      <c r="Q444" s="171"/>
      <c r="R444" s="56" t="str">
        <f t="shared" si="71"/>
        <v/>
      </c>
      <c r="S444" s="57" t="str">
        <f t="shared" si="72"/>
        <v/>
      </c>
      <c r="T444" s="58"/>
    </row>
    <row r="445" spans="2:20" x14ac:dyDescent="0.35">
      <c r="B445" s="45" t="str">
        <f>IF(J445="","",RANK($J445,$J$9:$J$620,0)+COUNTIF($J$9:J445,$J445)-1)</f>
        <v/>
      </c>
      <c r="C445" s="46"/>
      <c r="D445" s="46"/>
      <c r="E445" s="46"/>
      <c r="F445" s="47"/>
      <c r="G445" s="48"/>
      <c r="H445" s="46"/>
      <c r="I445" s="49"/>
      <c r="J445" s="50"/>
      <c r="K445" s="51"/>
      <c r="L445" s="52">
        <f t="shared" si="73"/>
        <v>31</v>
      </c>
      <c r="M445" s="52">
        <f t="shared" si="73"/>
        <v>31</v>
      </c>
      <c r="N445" s="53"/>
      <c r="O445" s="170"/>
      <c r="P445" s="55"/>
      <c r="Q445" s="171"/>
      <c r="R445" s="56" t="str">
        <f t="shared" si="71"/>
        <v/>
      </c>
      <c r="S445" s="57" t="str">
        <f t="shared" si="72"/>
        <v/>
      </c>
      <c r="T445" s="58"/>
    </row>
    <row r="446" spans="2:20" x14ac:dyDescent="0.35">
      <c r="B446" s="45" t="str">
        <f>IF(J446="","",RANK($J446,$J$9:$J$620,0)+COUNTIF($J$9:J446,$J446)-1)</f>
        <v/>
      </c>
      <c r="C446" s="46"/>
      <c r="D446" s="46"/>
      <c r="E446" s="46"/>
      <c r="F446" s="47"/>
      <c r="G446" s="48"/>
      <c r="H446" s="46"/>
      <c r="I446" s="49"/>
      <c r="J446" s="50"/>
      <c r="K446" s="51"/>
      <c r="L446" s="52">
        <f t="shared" si="73"/>
        <v>31</v>
      </c>
      <c r="M446" s="52">
        <f t="shared" si="73"/>
        <v>31</v>
      </c>
      <c r="N446" s="53"/>
      <c r="O446" s="170"/>
      <c r="P446" s="55"/>
      <c r="Q446" s="171"/>
      <c r="R446" s="56" t="str">
        <f t="shared" si="71"/>
        <v/>
      </c>
      <c r="S446" s="57" t="str">
        <f t="shared" si="72"/>
        <v/>
      </c>
      <c r="T446" s="58"/>
    </row>
    <row r="447" spans="2:20" x14ac:dyDescent="0.35">
      <c r="B447" s="45" t="str">
        <f>IF(J447="","",RANK($J447,$J$9:$J$620,0)+COUNTIF($J$9:J447,$J447)-1)</f>
        <v/>
      </c>
      <c r="C447" s="46"/>
      <c r="D447" s="46"/>
      <c r="E447" s="46"/>
      <c r="F447" s="47"/>
      <c r="G447" s="48"/>
      <c r="H447" s="46"/>
      <c r="I447" s="49"/>
      <c r="J447" s="50"/>
      <c r="K447" s="51"/>
      <c r="L447" s="52">
        <f t="shared" si="73"/>
        <v>31</v>
      </c>
      <c r="M447" s="52">
        <f t="shared" si="73"/>
        <v>31</v>
      </c>
      <c r="N447" s="53"/>
      <c r="O447" s="170"/>
      <c r="P447" s="55"/>
      <c r="Q447" s="171"/>
      <c r="R447" s="56" t="str">
        <f t="shared" si="71"/>
        <v/>
      </c>
      <c r="S447" s="57" t="str">
        <f t="shared" si="72"/>
        <v/>
      </c>
      <c r="T447" s="58"/>
    </row>
    <row r="448" spans="2:20" x14ac:dyDescent="0.35">
      <c r="B448" s="45" t="str">
        <f>IF(J448="","",RANK($J448,$J$9:$J$620,0)+COUNTIF($J$9:J448,$J448)-1)</f>
        <v/>
      </c>
      <c r="C448" s="46"/>
      <c r="D448" s="46"/>
      <c r="E448" s="46"/>
      <c r="F448" s="47"/>
      <c r="G448" s="48"/>
      <c r="H448" s="46"/>
      <c r="I448" s="49"/>
      <c r="J448" s="50"/>
      <c r="K448" s="51"/>
      <c r="L448" s="52">
        <f t="shared" si="73"/>
        <v>31</v>
      </c>
      <c r="M448" s="52">
        <f t="shared" si="73"/>
        <v>31</v>
      </c>
      <c r="N448" s="53"/>
      <c r="O448" s="170"/>
      <c r="P448" s="55"/>
      <c r="Q448" s="171"/>
      <c r="R448" s="56" t="str">
        <f t="shared" si="71"/>
        <v/>
      </c>
      <c r="S448" s="57" t="str">
        <f t="shared" si="72"/>
        <v/>
      </c>
      <c r="T448" s="58"/>
    </row>
    <row r="449" spans="2:20" x14ac:dyDescent="0.35">
      <c r="B449" s="45" t="str">
        <f>IF(J449="","",RANK($J449,$J$9:$J$620,0)+COUNTIF($J$9:J449,$J449)-1)</f>
        <v/>
      </c>
      <c r="C449" s="46"/>
      <c r="D449" s="46"/>
      <c r="E449" s="46"/>
      <c r="F449" s="47"/>
      <c r="G449" s="48"/>
      <c r="H449" s="46"/>
      <c r="I449" s="49"/>
      <c r="J449" s="50"/>
      <c r="K449" s="51"/>
      <c r="L449" s="52">
        <f t="shared" si="73"/>
        <v>31</v>
      </c>
      <c r="M449" s="52">
        <f t="shared" si="73"/>
        <v>31</v>
      </c>
      <c r="N449" s="53"/>
      <c r="O449" s="170"/>
      <c r="P449" s="55"/>
      <c r="Q449" s="171"/>
      <c r="R449" s="56" t="str">
        <f t="shared" si="71"/>
        <v/>
      </c>
      <c r="S449" s="57" t="str">
        <f t="shared" si="72"/>
        <v/>
      </c>
      <c r="T449" s="58"/>
    </row>
    <row r="450" spans="2:20" x14ac:dyDescent="0.35">
      <c r="B450" s="45" t="str">
        <f>IF(J450="","",RANK($J450,$J$9:$J$620,0)+COUNTIF($J$9:J450,$J450)-1)</f>
        <v/>
      </c>
      <c r="C450" s="46"/>
      <c r="D450" s="46"/>
      <c r="E450" s="46"/>
      <c r="F450" s="47"/>
      <c r="G450" s="48"/>
      <c r="H450" s="46"/>
      <c r="I450" s="49"/>
      <c r="J450" s="50"/>
      <c r="K450" s="51"/>
      <c r="L450" s="52">
        <f t="shared" si="73"/>
        <v>31</v>
      </c>
      <c r="M450" s="52">
        <f t="shared" si="73"/>
        <v>31</v>
      </c>
      <c r="N450" s="53"/>
      <c r="O450" s="170"/>
      <c r="P450" s="55"/>
      <c r="Q450" s="171"/>
      <c r="R450" s="56" t="str">
        <f t="shared" si="71"/>
        <v/>
      </c>
      <c r="S450" s="57" t="str">
        <f t="shared" si="72"/>
        <v/>
      </c>
      <c r="T450" s="58"/>
    </row>
    <row r="451" spans="2:20" x14ac:dyDescent="0.35">
      <c r="B451" s="45" t="str">
        <f>IF(J451="","",RANK($J451,$J$9:$J$620,0)+COUNTIF($J$9:J451,$J451)-1)</f>
        <v/>
      </c>
      <c r="C451" s="46"/>
      <c r="D451" s="46"/>
      <c r="E451" s="46"/>
      <c r="F451" s="47"/>
      <c r="G451" s="48"/>
      <c r="H451" s="46"/>
      <c r="I451" s="49"/>
      <c r="J451" s="50"/>
      <c r="K451" s="51"/>
      <c r="L451" s="52">
        <f t="shared" si="73"/>
        <v>31</v>
      </c>
      <c r="M451" s="52">
        <f t="shared" si="73"/>
        <v>31</v>
      </c>
      <c r="N451" s="53"/>
      <c r="O451" s="170"/>
      <c r="P451" s="55"/>
      <c r="Q451" s="171"/>
      <c r="R451" s="56" t="str">
        <f t="shared" si="71"/>
        <v/>
      </c>
      <c r="S451" s="57" t="str">
        <f t="shared" si="72"/>
        <v/>
      </c>
      <c r="T451" s="58"/>
    </row>
    <row r="452" spans="2:20" x14ac:dyDescent="0.35">
      <c r="B452" s="45" t="str">
        <f>IF(J452="","",RANK($J452,$J$9:$J$620,0)+COUNTIF($J$9:J452,$J452)-1)</f>
        <v/>
      </c>
      <c r="C452" s="46"/>
      <c r="D452" s="46"/>
      <c r="E452" s="46"/>
      <c r="F452" s="47"/>
      <c r="G452" s="48"/>
      <c r="H452" s="46"/>
      <c r="I452" s="49"/>
      <c r="J452" s="50"/>
      <c r="K452" s="51"/>
      <c r="L452" s="52">
        <f t="shared" si="73"/>
        <v>31</v>
      </c>
      <c r="M452" s="52">
        <f t="shared" si="73"/>
        <v>31</v>
      </c>
      <c r="N452" s="53"/>
      <c r="O452" s="170"/>
      <c r="P452" s="55"/>
      <c r="Q452" s="171"/>
      <c r="R452" s="56" t="str">
        <f t="shared" si="71"/>
        <v/>
      </c>
      <c r="S452" s="57" t="str">
        <f t="shared" si="72"/>
        <v/>
      </c>
      <c r="T452" s="58"/>
    </row>
    <row r="453" spans="2:20" x14ac:dyDescent="0.35">
      <c r="B453" s="45" t="str">
        <f>IF(J453="","",RANK($J453,$J$9:$J$620,0)+COUNTIF($J$9:J453,$J453)-1)</f>
        <v/>
      </c>
      <c r="C453" s="46"/>
      <c r="D453" s="46"/>
      <c r="E453" s="46"/>
      <c r="F453" s="47"/>
      <c r="G453" s="48"/>
      <c r="H453" s="46"/>
      <c r="I453" s="49"/>
      <c r="J453" s="50"/>
      <c r="K453" s="51"/>
      <c r="L453" s="52">
        <f t="shared" si="73"/>
        <v>31</v>
      </c>
      <c r="M453" s="52">
        <f t="shared" si="73"/>
        <v>31</v>
      </c>
      <c r="N453" s="53"/>
      <c r="O453" s="170"/>
      <c r="P453" s="55"/>
      <c r="Q453" s="171"/>
      <c r="R453" s="56" t="str">
        <f t="shared" si="71"/>
        <v/>
      </c>
      <c r="S453" s="57" t="str">
        <f t="shared" si="72"/>
        <v/>
      </c>
      <c r="T453" s="58"/>
    </row>
    <row r="454" spans="2:20" x14ac:dyDescent="0.35">
      <c r="B454" s="45" t="str">
        <f>IF(J454="","",RANK($J454,$J$9:$J$620,0)+COUNTIF($J$9:J454,$J454)-1)</f>
        <v/>
      </c>
      <c r="C454" s="46"/>
      <c r="D454" s="46"/>
      <c r="E454" s="46"/>
      <c r="F454" s="47"/>
      <c r="G454" s="48"/>
      <c r="H454" s="46"/>
      <c r="I454" s="49"/>
      <c r="J454" s="50"/>
      <c r="K454" s="51"/>
      <c r="L454" s="52">
        <f t="shared" si="73"/>
        <v>31</v>
      </c>
      <c r="M454" s="52">
        <f t="shared" si="73"/>
        <v>31</v>
      </c>
      <c r="N454" s="53"/>
      <c r="O454" s="170"/>
      <c r="P454" s="55"/>
      <c r="Q454" s="171"/>
      <c r="R454" s="56" t="str">
        <f t="shared" si="71"/>
        <v/>
      </c>
      <c r="S454" s="57" t="str">
        <f t="shared" si="72"/>
        <v/>
      </c>
      <c r="T454" s="58"/>
    </row>
    <row r="455" spans="2:20" x14ac:dyDescent="0.35">
      <c r="B455" s="45" t="str">
        <f>IF(J455="","",RANK($J455,$J$9:$J$620,0)+COUNTIF($J$9:J455,$J455)-1)</f>
        <v/>
      </c>
      <c r="C455" s="46"/>
      <c r="D455" s="46"/>
      <c r="E455" s="46"/>
      <c r="F455" s="47"/>
      <c r="G455" s="48"/>
      <c r="H455" s="46"/>
      <c r="I455" s="49"/>
      <c r="J455" s="50"/>
      <c r="K455" s="51"/>
      <c r="L455" s="52">
        <f t="shared" si="73"/>
        <v>31</v>
      </c>
      <c r="M455" s="52">
        <f t="shared" si="73"/>
        <v>31</v>
      </c>
      <c r="N455" s="53"/>
      <c r="O455" s="170"/>
      <c r="P455" s="55"/>
      <c r="Q455" s="171"/>
      <c r="R455" s="56" t="str">
        <f t="shared" si="71"/>
        <v/>
      </c>
      <c r="S455" s="57" t="str">
        <f t="shared" si="72"/>
        <v/>
      </c>
      <c r="T455" s="58"/>
    </row>
    <row r="456" spans="2:20" x14ac:dyDescent="0.35">
      <c r="B456" s="45" t="str">
        <f>IF(J456="","",RANK($J456,$J$9:$J$620,0)+COUNTIF($J$9:J456,$J456)-1)</f>
        <v/>
      </c>
      <c r="C456" s="46"/>
      <c r="D456" s="46"/>
      <c r="E456" s="46"/>
      <c r="F456" s="47"/>
      <c r="G456" s="48"/>
      <c r="H456" s="46"/>
      <c r="I456" s="49"/>
      <c r="J456" s="50"/>
      <c r="K456" s="51"/>
      <c r="L456" s="52">
        <f t="shared" si="73"/>
        <v>31</v>
      </c>
      <c r="M456" s="52">
        <f t="shared" si="73"/>
        <v>31</v>
      </c>
      <c r="N456" s="53"/>
      <c r="O456" s="170"/>
      <c r="P456" s="55"/>
      <c r="Q456" s="171"/>
      <c r="R456" s="56" t="str">
        <f t="shared" si="71"/>
        <v/>
      </c>
      <c r="S456" s="57" t="str">
        <f t="shared" si="72"/>
        <v/>
      </c>
      <c r="T456" s="58"/>
    </row>
    <row r="457" spans="2:20" x14ac:dyDescent="0.35">
      <c r="B457" s="45" t="str">
        <f>IF(J457="","",RANK($J457,$J$9:$J$620,0)+COUNTIF($J$9:J457,$J457)-1)</f>
        <v/>
      </c>
      <c r="C457" s="46"/>
      <c r="D457" s="46"/>
      <c r="E457" s="46"/>
      <c r="F457" s="47"/>
      <c r="G457" s="48"/>
      <c r="H457" s="46"/>
      <c r="I457" s="49"/>
      <c r="J457" s="50"/>
      <c r="K457" s="51"/>
      <c r="L457" s="52">
        <f t="shared" si="73"/>
        <v>31</v>
      </c>
      <c r="M457" s="52">
        <f t="shared" si="73"/>
        <v>31</v>
      </c>
      <c r="N457" s="53"/>
      <c r="O457" s="170"/>
      <c r="P457" s="55"/>
      <c r="Q457" s="171"/>
      <c r="R457" s="56" t="str">
        <f t="shared" si="71"/>
        <v/>
      </c>
      <c r="S457" s="57" t="str">
        <f t="shared" si="72"/>
        <v/>
      </c>
      <c r="T457" s="58"/>
    </row>
    <row r="458" spans="2:20" x14ac:dyDescent="0.35">
      <c r="B458" s="45" t="str">
        <f>IF(J458="","",RANK($J458,$J$9:$J$620,0)+COUNTIF($J$9:J458,$J458)-1)</f>
        <v/>
      </c>
      <c r="C458" s="46"/>
      <c r="D458" s="46"/>
      <c r="E458" s="46"/>
      <c r="F458" s="47"/>
      <c r="G458" s="48"/>
      <c r="H458" s="46"/>
      <c r="I458" s="49"/>
      <c r="J458" s="50"/>
      <c r="K458" s="51"/>
      <c r="L458" s="52">
        <f t="shared" si="73"/>
        <v>31</v>
      </c>
      <c r="M458" s="52">
        <f t="shared" si="73"/>
        <v>31</v>
      </c>
      <c r="N458" s="53"/>
      <c r="O458" s="170"/>
      <c r="P458" s="55"/>
      <c r="Q458" s="171"/>
      <c r="R458" s="56" t="str">
        <f t="shared" ref="R458:R521" si="74">IF(I458="","",IF(($G$5-I458)/365&gt;1.5,"Renewed Lease","New Lease"))</f>
        <v/>
      </c>
      <c r="S458" s="57" t="str">
        <f t="shared" ref="S458:S521" si="75">IF(Q458="","",IFERROR(1-Q458/P458,""))</f>
        <v/>
      </c>
      <c r="T458" s="58"/>
    </row>
    <row r="459" spans="2:20" x14ac:dyDescent="0.35">
      <c r="B459" s="45" t="str">
        <f>IF(J459="","",RANK($J459,$J$9:$J$620,0)+COUNTIF($J$9:J459,$J459)-1)</f>
        <v/>
      </c>
      <c r="C459" s="46"/>
      <c r="D459" s="46"/>
      <c r="E459" s="46"/>
      <c r="F459" s="47"/>
      <c r="G459" s="48"/>
      <c r="H459" s="46"/>
      <c r="I459" s="49"/>
      <c r="J459" s="50"/>
      <c r="K459" s="51"/>
      <c r="L459" s="52">
        <f t="shared" si="73"/>
        <v>31</v>
      </c>
      <c r="M459" s="52">
        <f t="shared" si="73"/>
        <v>31</v>
      </c>
      <c r="N459" s="53"/>
      <c r="O459" s="170"/>
      <c r="P459" s="55"/>
      <c r="Q459" s="171"/>
      <c r="R459" s="56" t="str">
        <f t="shared" si="74"/>
        <v/>
      </c>
      <c r="S459" s="57" t="str">
        <f t="shared" si="75"/>
        <v/>
      </c>
      <c r="T459" s="58"/>
    </row>
    <row r="460" spans="2:20" x14ac:dyDescent="0.35">
      <c r="B460" s="45" t="str">
        <f>IF(J460="","",RANK($J460,$J$9:$J$620,0)+COUNTIF($J$9:J460,$J460)-1)</f>
        <v/>
      </c>
      <c r="C460" s="46"/>
      <c r="D460" s="46"/>
      <c r="E460" s="46"/>
      <c r="F460" s="47"/>
      <c r="G460" s="48"/>
      <c r="H460" s="46"/>
      <c r="I460" s="49"/>
      <c r="J460" s="50"/>
      <c r="K460" s="51"/>
      <c r="L460" s="52">
        <f t="shared" si="73"/>
        <v>31</v>
      </c>
      <c r="M460" s="52">
        <f t="shared" si="73"/>
        <v>31</v>
      </c>
      <c r="N460" s="53"/>
      <c r="O460" s="170"/>
      <c r="P460" s="55"/>
      <c r="Q460" s="171"/>
      <c r="R460" s="56" t="str">
        <f t="shared" si="74"/>
        <v/>
      </c>
      <c r="S460" s="57" t="str">
        <f t="shared" si="75"/>
        <v/>
      </c>
      <c r="T460" s="58"/>
    </row>
    <row r="461" spans="2:20" x14ac:dyDescent="0.35">
      <c r="B461" s="45" t="str">
        <f>IF(J461="","",RANK($J461,$J$9:$J$620,0)+COUNTIF($J$9:J461,$J461)-1)</f>
        <v/>
      </c>
      <c r="C461" s="46"/>
      <c r="D461" s="46"/>
      <c r="E461" s="46"/>
      <c r="F461" s="47"/>
      <c r="G461" s="48"/>
      <c r="H461" s="46"/>
      <c r="I461" s="49"/>
      <c r="J461" s="50"/>
      <c r="K461" s="51"/>
      <c r="L461" s="52">
        <f t="shared" si="73"/>
        <v>31</v>
      </c>
      <c r="M461" s="52">
        <f t="shared" si="73"/>
        <v>31</v>
      </c>
      <c r="N461" s="53"/>
      <c r="O461" s="170"/>
      <c r="P461" s="55"/>
      <c r="Q461" s="171"/>
      <c r="R461" s="56" t="str">
        <f t="shared" si="74"/>
        <v/>
      </c>
      <c r="S461" s="57" t="str">
        <f t="shared" si="75"/>
        <v/>
      </c>
      <c r="T461" s="58"/>
    </row>
    <row r="462" spans="2:20" x14ac:dyDescent="0.35">
      <c r="B462" s="45" t="str">
        <f>IF(J462="","",RANK($J462,$J$9:$J$620,0)+COUNTIF($J$9:J462,$J462)-1)</f>
        <v/>
      </c>
      <c r="C462" s="46"/>
      <c r="D462" s="46"/>
      <c r="E462" s="46"/>
      <c r="F462" s="47"/>
      <c r="G462" s="48"/>
      <c r="H462" s="46"/>
      <c r="I462" s="49"/>
      <c r="J462" s="50"/>
      <c r="K462" s="51"/>
      <c r="L462" s="52">
        <f t="shared" si="73"/>
        <v>31</v>
      </c>
      <c r="M462" s="52">
        <f t="shared" si="73"/>
        <v>31</v>
      </c>
      <c r="N462" s="53"/>
      <c r="O462" s="170"/>
      <c r="P462" s="55"/>
      <c r="Q462" s="171"/>
      <c r="R462" s="56" t="str">
        <f t="shared" si="74"/>
        <v/>
      </c>
      <c r="S462" s="57" t="str">
        <f t="shared" si="75"/>
        <v/>
      </c>
      <c r="T462" s="58"/>
    </row>
    <row r="463" spans="2:20" x14ac:dyDescent="0.35">
      <c r="B463" s="45" t="str">
        <f>IF(J463="","",RANK($J463,$J$9:$J$620,0)+COUNTIF($J$9:J463,$J463)-1)</f>
        <v/>
      </c>
      <c r="C463" s="46"/>
      <c r="D463" s="46"/>
      <c r="E463" s="46"/>
      <c r="F463" s="47"/>
      <c r="G463" s="48"/>
      <c r="H463" s="46"/>
      <c r="I463" s="49"/>
      <c r="J463" s="50"/>
      <c r="K463" s="51"/>
      <c r="L463" s="52">
        <f t="shared" si="73"/>
        <v>31</v>
      </c>
      <c r="M463" s="52">
        <f t="shared" si="73"/>
        <v>31</v>
      </c>
      <c r="N463" s="53"/>
      <c r="O463" s="170"/>
      <c r="P463" s="55"/>
      <c r="Q463" s="171"/>
      <c r="R463" s="56" t="str">
        <f t="shared" si="74"/>
        <v/>
      </c>
      <c r="S463" s="57" t="str">
        <f t="shared" si="75"/>
        <v/>
      </c>
      <c r="T463" s="58"/>
    </row>
    <row r="464" spans="2:20" x14ac:dyDescent="0.35">
      <c r="B464" s="45" t="str">
        <f>IF(J464="","",RANK($J464,$J$9:$J$620,0)+COUNTIF($J$9:J464,$J464)-1)</f>
        <v/>
      </c>
      <c r="C464" s="46"/>
      <c r="D464" s="46"/>
      <c r="E464" s="46"/>
      <c r="F464" s="47"/>
      <c r="G464" s="48"/>
      <c r="H464" s="46"/>
      <c r="I464" s="49"/>
      <c r="J464" s="50"/>
      <c r="K464" s="51"/>
      <c r="L464" s="52">
        <f t="shared" si="73"/>
        <v>31</v>
      </c>
      <c r="M464" s="52">
        <f t="shared" si="73"/>
        <v>31</v>
      </c>
      <c r="N464" s="53"/>
      <c r="O464" s="170"/>
      <c r="P464" s="55"/>
      <c r="Q464" s="171"/>
      <c r="R464" s="56" t="str">
        <f t="shared" si="74"/>
        <v/>
      </c>
      <c r="S464" s="57" t="str">
        <f t="shared" si="75"/>
        <v/>
      </c>
      <c r="T464" s="58"/>
    </row>
    <row r="465" spans="2:20" x14ac:dyDescent="0.35">
      <c r="B465" s="45" t="str">
        <f>IF(J465="","",RANK($J465,$J$9:$J$620,0)+COUNTIF($J$9:J465,$J465)-1)</f>
        <v/>
      </c>
      <c r="C465" s="46"/>
      <c r="D465" s="46"/>
      <c r="E465" s="46"/>
      <c r="F465" s="47"/>
      <c r="G465" s="48"/>
      <c r="H465" s="46"/>
      <c r="I465" s="49"/>
      <c r="J465" s="50"/>
      <c r="K465" s="51"/>
      <c r="L465" s="52">
        <f t="shared" si="73"/>
        <v>31</v>
      </c>
      <c r="M465" s="52">
        <f t="shared" si="73"/>
        <v>31</v>
      </c>
      <c r="N465" s="53"/>
      <c r="O465" s="170"/>
      <c r="P465" s="55"/>
      <c r="Q465" s="171"/>
      <c r="R465" s="56" t="str">
        <f t="shared" si="74"/>
        <v/>
      </c>
      <c r="S465" s="57" t="str">
        <f t="shared" si="75"/>
        <v/>
      </c>
      <c r="T465" s="58"/>
    </row>
    <row r="466" spans="2:20" x14ac:dyDescent="0.35">
      <c r="B466" s="45" t="str">
        <f>IF(J466="","",RANK($J466,$J$9:$J$620,0)+COUNTIF($J$9:J466,$J466)-1)</f>
        <v/>
      </c>
      <c r="C466" s="46"/>
      <c r="D466" s="46"/>
      <c r="E466" s="46"/>
      <c r="F466" s="47"/>
      <c r="G466" s="48"/>
      <c r="H466" s="46"/>
      <c r="I466" s="49"/>
      <c r="J466" s="50"/>
      <c r="K466" s="51"/>
      <c r="L466" s="52">
        <f t="shared" ref="L466:M529" si="76">EOMONTH(J466,0)</f>
        <v>31</v>
      </c>
      <c r="M466" s="52">
        <f t="shared" si="76"/>
        <v>31</v>
      </c>
      <c r="N466" s="53"/>
      <c r="O466" s="170"/>
      <c r="P466" s="55"/>
      <c r="Q466" s="171"/>
      <c r="R466" s="56" t="str">
        <f t="shared" si="74"/>
        <v/>
      </c>
      <c r="S466" s="57" t="str">
        <f t="shared" si="75"/>
        <v/>
      </c>
      <c r="T466" s="58"/>
    </row>
    <row r="467" spans="2:20" x14ac:dyDescent="0.35">
      <c r="B467" s="45" t="str">
        <f>IF(J467="","",RANK($J467,$J$9:$J$620,0)+COUNTIF($J$9:J467,$J467)-1)</f>
        <v/>
      </c>
      <c r="C467" s="46"/>
      <c r="D467" s="46"/>
      <c r="E467" s="46"/>
      <c r="F467" s="47"/>
      <c r="G467" s="48"/>
      <c r="H467" s="46"/>
      <c r="I467" s="49"/>
      <c r="J467" s="50"/>
      <c r="K467" s="51"/>
      <c r="L467" s="52">
        <f t="shared" si="76"/>
        <v>31</v>
      </c>
      <c r="M467" s="52">
        <f t="shared" si="76"/>
        <v>31</v>
      </c>
      <c r="N467" s="53"/>
      <c r="O467" s="170"/>
      <c r="P467" s="55"/>
      <c r="Q467" s="171"/>
      <c r="R467" s="56" t="str">
        <f t="shared" si="74"/>
        <v/>
      </c>
      <c r="S467" s="57" t="str">
        <f t="shared" si="75"/>
        <v/>
      </c>
      <c r="T467" s="58"/>
    </row>
    <row r="468" spans="2:20" x14ac:dyDescent="0.35">
      <c r="B468" s="45" t="str">
        <f>IF(J468="","",RANK($J468,$J$9:$J$620,0)+COUNTIF($J$9:J468,$J468)-1)</f>
        <v/>
      </c>
      <c r="C468" s="46"/>
      <c r="D468" s="46"/>
      <c r="E468" s="46"/>
      <c r="F468" s="47"/>
      <c r="G468" s="48"/>
      <c r="H468" s="46"/>
      <c r="I468" s="49"/>
      <c r="J468" s="50"/>
      <c r="K468" s="51"/>
      <c r="L468" s="52">
        <f t="shared" si="76"/>
        <v>31</v>
      </c>
      <c r="M468" s="52">
        <f t="shared" si="76"/>
        <v>31</v>
      </c>
      <c r="N468" s="53"/>
      <c r="O468" s="170"/>
      <c r="P468" s="55"/>
      <c r="Q468" s="171"/>
      <c r="R468" s="56" t="str">
        <f t="shared" si="74"/>
        <v/>
      </c>
      <c r="S468" s="57" t="str">
        <f t="shared" si="75"/>
        <v/>
      </c>
      <c r="T468" s="58"/>
    </row>
    <row r="469" spans="2:20" x14ac:dyDescent="0.35">
      <c r="B469" s="45" t="str">
        <f>IF(J469="","",RANK($J469,$J$9:$J$620,0)+COUNTIF($J$9:J469,$J469)-1)</f>
        <v/>
      </c>
      <c r="C469" s="46"/>
      <c r="D469" s="46"/>
      <c r="E469" s="46"/>
      <c r="F469" s="47"/>
      <c r="G469" s="48"/>
      <c r="H469" s="46"/>
      <c r="I469" s="49"/>
      <c r="J469" s="50"/>
      <c r="K469" s="51"/>
      <c r="L469" s="52">
        <f t="shared" si="76"/>
        <v>31</v>
      </c>
      <c r="M469" s="52">
        <f t="shared" si="76"/>
        <v>31</v>
      </c>
      <c r="N469" s="53"/>
      <c r="O469" s="170"/>
      <c r="P469" s="55"/>
      <c r="Q469" s="171"/>
      <c r="R469" s="56" t="str">
        <f t="shared" si="74"/>
        <v/>
      </c>
      <c r="S469" s="57" t="str">
        <f t="shared" si="75"/>
        <v/>
      </c>
      <c r="T469" s="58"/>
    </row>
    <row r="470" spans="2:20" x14ac:dyDescent="0.35">
      <c r="B470" s="45" t="str">
        <f>IF(J470="","",RANK($J470,$J$9:$J$620,0)+COUNTIF($J$9:J470,$J470)-1)</f>
        <v/>
      </c>
      <c r="C470" s="46"/>
      <c r="D470" s="46"/>
      <c r="E470" s="46"/>
      <c r="F470" s="47"/>
      <c r="G470" s="48"/>
      <c r="H470" s="46"/>
      <c r="I470" s="49"/>
      <c r="J470" s="50"/>
      <c r="K470" s="51"/>
      <c r="L470" s="52">
        <f t="shared" si="76"/>
        <v>31</v>
      </c>
      <c r="M470" s="52">
        <f t="shared" si="76"/>
        <v>31</v>
      </c>
      <c r="N470" s="53"/>
      <c r="O470" s="170"/>
      <c r="P470" s="55"/>
      <c r="Q470" s="171"/>
      <c r="R470" s="56" t="str">
        <f t="shared" si="74"/>
        <v/>
      </c>
      <c r="S470" s="57" t="str">
        <f t="shared" si="75"/>
        <v/>
      </c>
      <c r="T470" s="58"/>
    </row>
    <row r="471" spans="2:20" x14ac:dyDescent="0.35">
      <c r="B471" s="45" t="str">
        <f>IF(J471="","",RANK($J471,$J$9:$J$620,0)+COUNTIF($J$9:J471,$J471)-1)</f>
        <v/>
      </c>
      <c r="C471" s="46"/>
      <c r="D471" s="46"/>
      <c r="E471" s="46"/>
      <c r="F471" s="47"/>
      <c r="G471" s="48"/>
      <c r="H471" s="46"/>
      <c r="I471" s="49"/>
      <c r="J471" s="50"/>
      <c r="K471" s="51"/>
      <c r="L471" s="52">
        <f t="shared" si="76"/>
        <v>31</v>
      </c>
      <c r="M471" s="52">
        <f t="shared" si="76"/>
        <v>31</v>
      </c>
      <c r="N471" s="53"/>
      <c r="O471" s="170"/>
      <c r="P471" s="55"/>
      <c r="Q471" s="171"/>
      <c r="R471" s="56" t="str">
        <f t="shared" si="74"/>
        <v/>
      </c>
      <c r="S471" s="57" t="str">
        <f t="shared" si="75"/>
        <v/>
      </c>
      <c r="T471" s="58"/>
    </row>
    <row r="472" spans="2:20" x14ac:dyDescent="0.35">
      <c r="B472" s="45" t="str">
        <f>IF(J472="","",RANK($J472,$J$9:$J$620,0)+COUNTIF($J$9:J472,$J472)-1)</f>
        <v/>
      </c>
      <c r="C472" s="46"/>
      <c r="D472" s="46"/>
      <c r="E472" s="46"/>
      <c r="F472" s="47"/>
      <c r="G472" s="48"/>
      <c r="H472" s="46"/>
      <c r="I472" s="49"/>
      <c r="J472" s="50"/>
      <c r="K472" s="51"/>
      <c r="L472" s="52">
        <f t="shared" si="76"/>
        <v>31</v>
      </c>
      <c r="M472" s="52">
        <f t="shared" si="76"/>
        <v>31</v>
      </c>
      <c r="N472" s="53"/>
      <c r="O472" s="170"/>
      <c r="P472" s="55"/>
      <c r="Q472" s="171"/>
      <c r="R472" s="56" t="str">
        <f t="shared" si="74"/>
        <v/>
      </c>
      <c r="S472" s="57" t="str">
        <f t="shared" si="75"/>
        <v/>
      </c>
      <c r="T472" s="58"/>
    </row>
    <row r="473" spans="2:20" x14ac:dyDescent="0.35">
      <c r="B473" s="45" t="str">
        <f>IF(J473="","",RANK($J473,$J$9:$J$620,0)+COUNTIF($J$9:J473,$J473)-1)</f>
        <v/>
      </c>
      <c r="C473" s="46"/>
      <c r="D473" s="46"/>
      <c r="E473" s="46"/>
      <c r="F473" s="47"/>
      <c r="G473" s="48"/>
      <c r="H473" s="46"/>
      <c r="I473" s="49"/>
      <c r="J473" s="50"/>
      <c r="K473" s="51"/>
      <c r="L473" s="52">
        <f t="shared" si="76"/>
        <v>31</v>
      </c>
      <c r="M473" s="52">
        <f t="shared" si="76"/>
        <v>31</v>
      </c>
      <c r="N473" s="53"/>
      <c r="O473" s="170"/>
      <c r="P473" s="55"/>
      <c r="Q473" s="171"/>
      <c r="R473" s="56" t="str">
        <f t="shared" si="74"/>
        <v/>
      </c>
      <c r="S473" s="57" t="str">
        <f t="shared" si="75"/>
        <v/>
      </c>
      <c r="T473" s="58"/>
    </row>
    <row r="474" spans="2:20" x14ac:dyDescent="0.35">
      <c r="B474" s="45" t="str">
        <f>IF(J474="","",RANK($J474,$J$9:$J$620,0)+COUNTIF($J$9:J474,$J474)-1)</f>
        <v/>
      </c>
      <c r="C474" s="46"/>
      <c r="D474" s="46"/>
      <c r="E474" s="46"/>
      <c r="F474" s="47"/>
      <c r="G474" s="48"/>
      <c r="H474" s="46"/>
      <c r="I474" s="49"/>
      <c r="J474" s="50"/>
      <c r="K474" s="51"/>
      <c r="L474" s="52">
        <f t="shared" si="76"/>
        <v>31</v>
      </c>
      <c r="M474" s="52">
        <f t="shared" si="76"/>
        <v>31</v>
      </c>
      <c r="N474" s="53"/>
      <c r="O474" s="170"/>
      <c r="P474" s="55"/>
      <c r="Q474" s="171"/>
      <c r="R474" s="56" t="str">
        <f t="shared" si="74"/>
        <v/>
      </c>
      <c r="S474" s="57" t="str">
        <f t="shared" si="75"/>
        <v/>
      </c>
      <c r="T474" s="58"/>
    </row>
    <row r="475" spans="2:20" x14ac:dyDescent="0.35">
      <c r="B475" s="45" t="str">
        <f>IF(J475="","",RANK($J475,$J$9:$J$620,0)+COUNTIF($J$9:J475,$J475)-1)</f>
        <v/>
      </c>
      <c r="C475" s="46"/>
      <c r="D475" s="46"/>
      <c r="E475" s="46"/>
      <c r="F475" s="47"/>
      <c r="G475" s="48"/>
      <c r="H475" s="46"/>
      <c r="I475" s="49"/>
      <c r="J475" s="50"/>
      <c r="K475" s="51"/>
      <c r="L475" s="52">
        <f t="shared" si="76"/>
        <v>31</v>
      </c>
      <c r="M475" s="52">
        <f t="shared" si="76"/>
        <v>31</v>
      </c>
      <c r="N475" s="53"/>
      <c r="O475" s="170"/>
      <c r="P475" s="55"/>
      <c r="Q475" s="171"/>
      <c r="R475" s="56" t="str">
        <f t="shared" si="74"/>
        <v/>
      </c>
      <c r="S475" s="57" t="str">
        <f t="shared" si="75"/>
        <v/>
      </c>
      <c r="T475" s="58"/>
    </row>
    <row r="476" spans="2:20" x14ac:dyDescent="0.35">
      <c r="B476" s="45" t="str">
        <f>IF(J476="","",RANK($J476,$J$9:$J$620,0)+COUNTIF($J$9:J476,$J476)-1)</f>
        <v/>
      </c>
      <c r="C476" s="46"/>
      <c r="D476" s="46"/>
      <c r="E476" s="46"/>
      <c r="F476" s="47"/>
      <c r="G476" s="48"/>
      <c r="H476" s="46"/>
      <c r="I476" s="49"/>
      <c r="J476" s="50"/>
      <c r="K476" s="51"/>
      <c r="L476" s="52">
        <f t="shared" si="76"/>
        <v>31</v>
      </c>
      <c r="M476" s="52">
        <f t="shared" si="76"/>
        <v>31</v>
      </c>
      <c r="N476" s="53"/>
      <c r="O476" s="170"/>
      <c r="P476" s="55"/>
      <c r="Q476" s="171"/>
      <c r="R476" s="56" t="str">
        <f t="shared" si="74"/>
        <v/>
      </c>
      <c r="S476" s="57" t="str">
        <f t="shared" si="75"/>
        <v/>
      </c>
      <c r="T476" s="58"/>
    </row>
    <row r="477" spans="2:20" x14ac:dyDescent="0.35">
      <c r="B477" s="45" t="str">
        <f>IF(J477="","",RANK($J477,$J$9:$J$620,0)+COUNTIF($J$9:J477,$J477)-1)</f>
        <v/>
      </c>
      <c r="C477" s="46"/>
      <c r="D477" s="46"/>
      <c r="E477" s="46"/>
      <c r="F477" s="47"/>
      <c r="G477" s="48"/>
      <c r="H477" s="46"/>
      <c r="I477" s="49"/>
      <c r="J477" s="50"/>
      <c r="K477" s="51"/>
      <c r="L477" s="52">
        <f t="shared" si="76"/>
        <v>31</v>
      </c>
      <c r="M477" s="52">
        <f t="shared" si="76"/>
        <v>31</v>
      </c>
      <c r="N477" s="53"/>
      <c r="O477" s="170"/>
      <c r="P477" s="55"/>
      <c r="Q477" s="171"/>
      <c r="R477" s="56" t="str">
        <f t="shared" si="74"/>
        <v/>
      </c>
      <c r="S477" s="57" t="str">
        <f t="shared" si="75"/>
        <v/>
      </c>
      <c r="T477" s="58"/>
    </row>
    <row r="478" spans="2:20" x14ac:dyDescent="0.35">
      <c r="B478" s="45" t="str">
        <f>IF(J478="","",RANK($J478,$J$9:$J$620,0)+COUNTIF($J$9:J478,$J478)-1)</f>
        <v/>
      </c>
      <c r="C478" s="46"/>
      <c r="D478" s="46"/>
      <c r="E478" s="46"/>
      <c r="F478" s="47"/>
      <c r="G478" s="48"/>
      <c r="H478" s="46"/>
      <c r="I478" s="49"/>
      <c r="J478" s="50"/>
      <c r="K478" s="51"/>
      <c r="L478" s="52">
        <f t="shared" si="76"/>
        <v>31</v>
      </c>
      <c r="M478" s="52">
        <f t="shared" si="76"/>
        <v>31</v>
      </c>
      <c r="N478" s="53"/>
      <c r="O478" s="170"/>
      <c r="P478" s="55"/>
      <c r="Q478" s="171"/>
      <c r="R478" s="56" t="str">
        <f t="shared" si="74"/>
        <v/>
      </c>
      <c r="S478" s="57" t="str">
        <f t="shared" si="75"/>
        <v/>
      </c>
      <c r="T478" s="58"/>
    </row>
    <row r="479" spans="2:20" x14ac:dyDescent="0.35">
      <c r="B479" s="45" t="str">
        <f>IF(J479="","",RANK($J479,$J$9:$J$620,0)+COUNTIF($J$9:J479,$J479)-1)</f>
        <v/>
      </c>
      <c r="C479" s="46"/>
      <c r="D479" s="46"/>
      <c r="E479" s="46"/>
      <c r="F479" s="47"/>
      <c r="G479" s="48"/>
      <c r="H479" s="46"/>
      <c r="I479" s="49"/>
      <c r="J479" s="50"/>
      <c r="K479" s="51"/>
      <c r="L479" s="52">
        <f t="shared" si="76"/>
        <v>31</v>
      </c>
      <c r="M479" s="52">
        <f t="shared" si="76"/>
        <v>31</v>
      </c>
      <c r="N479" s="53"/>
      <c r="O479" s="170"/>
      <c r="P479" s="55"/>
      <c r="Q479" s="171"/>
      <c r="R479" s="56" t="str">
        <f t="shared" si="74"/>
        <v/>
      </c>
      <c r="S479" s="57" t="str">
        <f t="shared" si="75"/>
        <v/>
      </c>
      <c r="T479" s="58"/>
    </row>
    <row r="480" spans="2:20" x14ac:dyDescent="0.35">
      <c r="B480" s="45" t="str">
        <f>IF(J480="","",RANK($J480,$J$9:$J$620,0)+COUNTIF($J$9:J480,$J480)-1)</f>
        <v/>
      </c>
      <c r="C480" s="46"/>
      <c r="D480" s="46"/>
      <c r="E480" s="46"/>
      <c r="F480" s="47"/>
      <c r="G480" s="48"/>
      <c r="H480" s="46"/>
      <c r="I480" s="49"/>
      <c r="J480" s="50"/>
      <c r="K480" s="51"/>
      <c r="L480" s="52">
        <f t="shared" si="76"/>
        <v>31</v>
      </c>
      <c r="M480" s="52">
        <f t="shared" si="76"/>
        <v>31</v>
      </c>
      <c r="N480" s="53"/>
      <c r="O480" s="170"/>
      <c r="P480" s="55"/>
      <c r="Q480" s="171"/>
      <c r="R480" s="56" t="str">
        <f t="shared" si="74"/>
        <v/>
      </c>
      <c r="S480" s="57" t="str">
        <f t="shared" si="75"/>
        <v/>
      </c>
      <c r="T480" s="58"/>
    </row>
    <row r="481" spans="2:20" x14ac:dyDescent="0.35">
      <c r="B481" s="45" t="str">
        <f>IF(J481="","",RANK($J481,$J$9:$J$620,0)+COUNTIF($J$9:J481,$J481)-1)</f>
        <v/>
      </c>
      <c r="C481" s="46"/>
      <c r="D481" s="46"/>
      <c r="E481" s="46"/>
      <c r="F481" s="47"/>
      <c r="G481" s="48"/>
      <c r="H481" s="46"/>
      <c r="I481" s="49"/>
      <c r="J481" s="50"/>
      <c r="K481" s="51"/>
      <c r="L481" s="52">
        <f t="shared" si="76"/>
        <v>31</v>
      </c>
      <c r="M481" s="52">
        <f t="shared" si="76"/>
        <v>31</v>
      </c>
      <c r="N481" s="53"/>
      <c r="O481" s="170"/>
      <c r="P481" s="55"/>
      <c r="Q481" s="171"/>
      <c r="R481" s="56" t="str">
        <f t="shared" si="74"/>
        <v/>
      </c>
      <c r="S481" s="57" t="str">
        <f t="shared" si="75"/>
        <v/>
      </c>
      <c r="T481" s="58"/>
    </row>
    <row r="482" spans="2:20" x14ac:dyDescent="0.35">
      <c r="B482" s="45" t="str">
        <f>IF(J482="","",RANK($J482,$J$9:$J$620,0)+COUNTIF($J$9:J482,$J482)-1)</f>
        <v/>
      </c>
      <c r="C482" s="46"/>
      <c r="D482" s="46"/>
      <c r="E482" s="46"/>
      <c r="F482" s="47"/>
      <c r="G482" s="48"/>
      <c r="H482" s="46"/>
      <c r="I482" s="49"/>
      <c r="J482" s="50"/>
      <c r="K482" s="51"/>
      <c r="L482" s="52">
        <f t="shared" si="76"/>
        <v>31</v>
      </c>
      <c r="M482" s="52">
        <f t="shared" si="76"/>
        <v>31</v>
      </c>
      <c r="N482" s="53"/>
      <c r="O482" s="170"/>
      <c r="P482" s="55"/>
      <c r="Q482" s="171"/>
      <c r="R482" s="56" t="str">
        <f t="shared" si="74"/>
        <v/>
      </c>
      <c r="S482" s="57" t="str">
        <f t="shared" si="75"/>
        <v/>
      </c>
      <c r="T482" s="58"/>
    </row>
    <row r="483" spans="2:20" x14ac:dyDescent="0.35">
      <c r="B483" s="45" t="str">
        <f>IF(J483="","",RANK($J483,$J$9:$J$620,0)+COUNTIF($J$9:J483,$J483)-1)</f>
        <v/>
      </c>
      <c r="C483" s="46"/>
      <c r="D483" s="46"/>
      <c r="E483" s="46"/>
      <c r="F483" s="47"/>
      <c r="G483" s="48"/>
      <c r="H483" s="46"/>
      <c r="I483" s="49"/>
      <c r="J483" s="50"/>
      <c r="K483" s="51"/>
      <c r="L483" s="52">
        <f t="shared" si="76"/>
        <v>31</v>
      </c>
      <c r="M483" s="52">
        <f t="shared" si="76"/>
        <v>31</v>
      </c>
      <c r="N483" s="53"/>
      <c r="O483" s="170"/>
      <c r="P483" s="55"/>
      <c r="Q483" s="171"/>
      <c r="R483" s="56" t="str">
        <f t="shared" si="74"/>
        <v/>
      </c>
      <c r="S483" s="57" t="str">
        <f t="shared" si="75"/>
        <v/>
      </c>
      <c r="T483" s="58"/>
    </row>
    <row r="484" spans="2:20" x14ac:dyDescent="0.35">
      <c r="B484" s="45" t="str">
        <f>IF(J484="","",RANK($J484,$J$9:$J$620,0)+COUNTIF($J$9:J484,$J484)-1)</f>
        <v/>
      </c>
      <c r="C484" s="46"/>
      <c r="D484" s="46"/>
      <c r="E484" s="46"/>
      <c r="F484" s="47"/>
      <c r="G484" s="48"/>
      <c r="H484" s="46"/>
      <c r="I484" s="49"/>
      <c r="J484" s="50"/>
      <c r="K484" s="51"/>
      <c r="L484" s="52">
        <f t="shared" si="76"/>
        <v>31</v>
      </c>
      <c r="M484" s="52">
        <f t="shared" si="76"/>
        <v>31</v>
      </c>
      <c r="N484" s="53"/>
      <c r="O484" s="170"/>
      <c r="P484" s="55"/>
      <c r="Q484" s="171"/>
      <c r="R484" s="56" t="str">
        <f t="shared" si="74"/>
        <v/>
      </c>
      <c r="S484" s="57" t="str">
        <f t="shared" si="75"/>
        <v/>
      </c>
      <c r="T484" s="58"/>
    </row>
    <row r="485" spans="2:20" x14ac:dyDescent="0.35">
      <c r="B485" s="45" t="str">
        <f>IF(J485="","",RANK($J485,$J$9:$J$620,0)+COUNTIF($J$9:J485,$J485)-1)</f>
        <v/>
      </c>
      <c r="C485" s="46"/>
      <c r="D485" s="46"/>
      <c r="E485" s="46"/>
      <c r="F485" s="47"/>
      <c r="G485" s="48"/>
      <c r="H485" s="46"/>
      <c r="I485" s="49"/>
      <c r="J485" s="50"/>
      <c r="K485" s="51"/>
      <c r="L485" s="52">
        <f t="shared" si="76"/>
        <v>31</v>
      </c>
      <c r="M485" s="52">
        <f t="shared" si="76"/>
        <v>31</v>
      </c>
      <c r="N485" s="53"/>
      <c r="O485" s="170"/>
      <c r="P485" s="55"/>
      <c r="Q485" s="171"/>
      <c r="R485" s="56" t="str">
        <f t="shared" si="74"/>
        <v/>
      </c>
      <c r="S485" s="57" t="str">
        <f t="shared" si="75"/>
        <v/>
      </c>
      <c r="T485" s="58"/>
    </row>
    <row r="486" spans="2:20" x14ac:dyDescent="0.35">
      <c r="B486" s="45" t="str">
        <f>IF(J486="","",RANK($J486,$J$9:$J$620,0)+COUNTIF($J$9:J486,$J486)-1)</f>
        <v/>
      </c>
      <c r="C486" s="46"/>
      <c r="D486" s="46"/>
      <c r="E486" s="46"/>
      <c r="F486" s="47"/>
      <c r="G486" s="48"/>
      <c r="H486" s="46"/>
      <c r="I486" s="49"/>
      <c r="J486" s="50"/>
      <c r="K486" s="51"/>
      <c r="L486" s="52">
        <f t="shared" si="76"/>
        <v>31</v>
      </c>
      <c r="M486" s="52">
        <f t="shared" si="76"/>
        <v>31</v>
      </c>
      <c r="N486" s="53"/>
      <c r="O486" s="170"/>
      <c r="P486" s="55"/>
      <c r="Q486" s="171"/>
      <c r="R486" s="56" t="str">
        <f t="shared" si="74"/>
        <v/>
      </c>
      <c r="S486" s="57" t="str">
        <f t="shared" si="75"/>
        <v/>
      </c>
      <c r="T486" s="58"/>
    </row>
    <row r="487" spans="2:20" x14ac:dyDescent="0.35">
      <c r="B487" s="45" t="str">
        <f>IF(J487="","",RANK($J487,$J$9:$J$620,0)+COUNTIF($J$9:J487,$J487)-1)</f>
        <v/>
      </c>
      <c r="C487" s="46"/>
      <c r="D487" s="46"/>
      <c r="E487" s="46"/>
      <c r="F487" s="47"/>
      <c r="G487" s="48"/>
      <c r="H487" s="46"/>
      <c r="I487" s="49"/>
      <c r="J487" s="50"/>
      <c r="K487" s="51"/>
      <c r="L487" s="52">
        <f t="shared" si="76"/>
        <v>31</v>
      </c>
      <c r="M487" s="52">
        <f t="shared" si="76"/>
        <v>31</v>
      </c>
      <c r="N487" s="53"/>
      <c r="O487" s="170"/>
      <c r="P487" s="55"/>
      <c r="Q487" s="171"/>
      <c r="R487" s="56" t="str">
        <f t="shared" si="74"/>
        <v/>
      </c>
      <c r="S487" s="57" t="str">
        <f t="shared" si="75"/>
        <v/>
      </c>
      <c r="T487" s="58"/>
    </row>
    <row r="488" spans="2:20" x14ac:dyDescent="0.35">
      <c r="B488" s="45" t="str">
        <f>IF(J488="","",RANK($J488,$J$9:$J$620,0)+COUNTIF($J$9:J488,$J488)-1)</f>
        <v/>
      </c>
      <c r="C488" s="46"/>
      <c r="D488" s="46"/>
      <c r="E488" s="46"/>
      <c r="F488" s="47"/>
      <c r="G488" s="48"/>
      <c r="H488" s="46"/>
      <c r="I488" s="49"/>
      <c r="J488" s="50"/>
      <c r="K488" s="51"/>
      <c r="L488" s="52">
        <f t="shared" si="76"/>
        <v>31</v>
      </c>
      <c r="M488" s="52">
        <f t="shared" si="76"/>
        <v>31</v>
      </c>
      <c r="N488" s="53"/>
      <c r="O488" s="170"/>
      <c r="P488" s="55"/>
      <c r="Q488" s="171"/>
      <c r="R488" s="56" t="str">
        <f t="shared" si="74"/>
        <v/>
      </c>
      <c r="S488" s="57" t="str">
        <f t="shared" si="75"/>
        <v/>
      </c>
      <c r="T488" s="58"/>
    </row>
    <row r="489" spans="2:20" x14ac:dyDescent="0.35">
      <c r="B489" s="45" t="str">
        <f>IF(J489="","",RANK($J489,$J$9:$J$620,0)+COUNTIF($J$9:J489,$J489)-1)</f>
        <v/>
      </c>
      <c r="C489" s="46"/>
      <c r="D489" s="46"/>
      <c r="E489" s="46"/>
      <c r="F489" s="47"/>
      <c r="G489" s="48"/>
      <c r="H489" s="46"/>
      <c r="I489" s="49"/>
      <c r="J489" s="50"/>
      <c r="K489" s="51"/>
      <c r="L489" s="52">
        <f t="shared" si="76"/>
        <v>31</v>
      </c>
      <c r="M489" s="52">
        <f t="shared" si="76"/>
        <v>31</v>
      </c>
      <c r="N489" s="53"/>
      <c r="O489" s="170"/>
      <c r="P489" s="55"/>
      <c r="Q489" s="171"/>
      <c r="R489" s="56" t="str">
        <f t="shared" si="74"/>
        <v/>
      </c>
      <c r="S489" s="57" t="str">
        <f t="shared" si="75"/>
        <v/>
      </c>
      <c r="T489" s="58"/>
    </row>
    <row r="490" spans="2:20" x14ac:dyDescent="0.35">
      <c r="B490" s="45" t="str">
        <f>IF(J490="","",RANK($J490,$J$9:$J$620,0)+COUNTIF($J$9:J490,$J490)-1)</f>
        <v/>
      </c>
      <c r="C490" s="46"/>
      <c r="D490" s="46"/>
      <c r="E490" s="46"/>
      <c r="F490" s="47"/>
      <c r="G490" s="48"/>
      <c r="H490" s="46"/>
      <c r="I490" s="49"/>
      <c r="J490" s="50"/>
      <c r="K490" s="51"/>
      <c r="L490" s="52">
        <f t="shared" si="76"/>
        <v>31</v>
      </c>
      <c r="M490" s="52">
        <f t="shared" si="76"/>
        <v>31</v>
      </c>
      <c r="N490" s="53"/>
      <c r="O490" s="170"/>
      <c r="P490" s="55"/>
      <c r="Q490" s="171"/>
      <c r="R490" s="56" t="str">
        <f t="shared" si="74"/>
        <v/>
      </c>
      <c r="S490" s="57" t="str">
        <f t="shared" si="75"/>
        <v/>
      </c>
      <c r="T490" s="58"/>
    </row>
    <row r="491" spans="2:20" x14ac:dyDescent="0.35">
      <c r="B491" s="45" t="str">
        <f>IF(J491="","",RANK($J491,$J$9:$J$620,0)+COUNTIF($J$9:J491,$J491)-1)</f>
        <v/>
      </c>
      <c r="C491" s="46"/>
      <c r="D491" s="46"/>
      <c r="E491" s="46"/>
      <c r="F491" s="47"/>
      <c r="G491" s="48"/>
      <c r="H491" s="46"/>
      <c r="I491" s="49"/>
      <c r="J491" s="50"/>
      <c r="K491" s="51"/>
      <c r="L491" s="52">
        <f t="shared" si="76"/>
        <v>31</v>
      </c>
      <c r="M491" s="52">
        <f t="shared" si="76"/>
        <v>31</v>
      </c>
      <c r="N491" s="53"/>
      <c r="O491" s="170"/>
      <c r="P491" s="55"/>
      <c r="Q491" s="171"/>
      <c r="R491" s="56" t="str">
        <f t="shared" si="74"/>
        <v/>
      </c>
      <c r="S491" s="57" t="str">
        <f t="shared" si="75"/>
        <v/>
      </c>
      <c r="T491" s="58"/>
    </row>
    <row r="492" spans="2:20" x14ac:dyDescent="0.35">
      <c r="B492" s="45" t="str">
        <f>IF(J492="","",RANK($J492,$J$9:$J$620,0)+COUNTIF($J$9:J492,$J492)-1)</f>
        <v/>
      </c>
      <c r="C492" s="46"/>
      <c r="D492" s="46"/>
      <c r="E492" s="46"/>
      <c r="F492" s="47"/>
      <c r="G492" s="48"/>
      <c r="H492" s="46"/>
      <c r="I492" s="49"/>
      <c r="J492" s="50"/>
      <c r="K492" s="51"/>
      <c r="L492" s="52">
        <f t="shared" si="76"/>
        <v>31</v>
      </c>
      <c r="M492" s="52">
        <f t="shared" si="76"/>
        <v>31</v>
      </c>
      <c r="N492" s="53"/>
      <c r="O492" s="170"/>
      <c r="P492" s="55"/>
      <c r="Q492" s="171"/>
      <c r="R492" s="56" t="str">
        <f t="shared" si="74"/>
        <v/>
      </c>
      <c r="S492" s="57" t="str">
        <f t="shared" si="75"/>
        <v/>
      </c>
      <c r="T492" s="58"/>
    </row>
    <row r="493" spans="2:20" x14ac:dyDescent="0.35">
      <c r="B493" s="45" t="str">
        <f>IF(J493="","",RANK($J493,$J$9:$J$620,0)+COUNTIF($J$9:J493,$J493)-1)</f>
        <v/>
      </c>
      <c r="C493" s="46"/>
      <c r="D493" s="46"/>
      <c r="E493" s="46"/>
      <c r="F493" s="47"/>
      <c r="G493" s="48"/>
      <c r="H493" s="46"/>
      <c r="I493" s="49"/>
      <c r="J493" s="50"/>
      <c r="K493" s="51"/>
      <c r="L493" s="52">
        <f t="shared" si="76"/>
        <v>31</v>
      </c>
      <c r="M493" s="52">
        <f t="shared" si="76"/>
        <v>31</v>
      </c>
      <c r="N493" s="53"/>
      <c r="O493" s="170"/>
      <c r="P493" s="55"/>
      <c r="Q493" s="171"/>
      <c r="R493" s="56" t="str">
        <f t="shared" si="74"/>
        <v/>
      </c>
      <c r="S493" s="57" t="str">
        <f t="shared" si="75"/>
        <v/>
      </c>
      <c r="T493" s="58"/>
    </row>
    <row r="494" spans="2:20" x14ac:dyDescent="0.35">
      <c r="B494" s="45" t="str">
        <f>IF(J494="","",RANK($J494,$J$9:$J$620,0)+COUNTIF($J$9:J494,$J494)-1)</f>
        <v/>
      </c>
      <c r="C494" s="46"/>
      <c r="D494" s="46"/>
      <c r="E494" s="46"/>
      <c r="F494" s="47"/>
      <c r="G494" s="48"/>
      <c r="H494" s="46"/>
      <c r="I494" s="49"/>
      <c r="J494" s="50"/>
      <c r="K494" s="51"/>
      <c r="L494" s="52">
        <f t="shared" si="76"/>
        <v>31</v>
      </c>
      <c r="M494" s="52">
        <f t="shared" si="76"/>
        <v>31</v>
      </c>
      <c r="N494" s="53"/>
      <c r="O494" s="170"/>
      <c r="P494" s="55"/>
      <c r="Q494" s="171"/>
      <c r="R494" s="56" t="str">
        <f t="shared" si="74"/>
        <v/>
      </c>
      <c r="S494" s="57" t="str">
        <f t="shared" si="75"/>
        <v/>
      </c>
      <c r="T494" s="58"/>
    </row>
    <row r="495" spans="2:20" x14ac:dyDescent="0.35">
      <c r="B495" s="45" t="str">
        <f>IF(J495="","",RANK($J495,$J$9:$J$620,0)+COUNTIF($J$9:J495,$J495)-1)</f>
        <v/>
      </c>
      <c r="C495" s="46"/>
      <c r="D495" s="46"/>
      <c r="E495" s="46"/>
      <c r="F495" s="47"/>
      <c r="G495" s="48"/>
      <c r="H495" s="46"/>
      <c r="I495" s="49"/>
      <c r="J495" s="50"/>
      <c r="K495" s="51"/>
      <c r="L495" s="52">
        <f t="shared" si="76"/>
        <v>31</v>
      </c>
      <c r="M495" s="52">
        <f t="shared" si="76"/>
        <v>31</v>
      </c>
      <c r="N495" s="53"/>
      <c r="O495" s="170"/>
      <c r="P495" s="55"/>
      <c r="Q495" s="171"/>
      <c r="R495" s="56" t="str">
        <f t="shared" si="74"/>
        <v/>
      </c>
      <c r="S495" s="57" t="str">
        <f t="shared" si="75"/>
        <v/>
      </c>
      <c r="T495" s="58"/>
    </row>
    <row r="496" spans="2:20" x14ac:dyDescent="0.35">
      <c r="B496" s="45" t="str">
        <f>IF(J496="","",RANK($J496,$J$9:$J$620,0)+COUNTIF($J$9:J496,$J496)-1)</f>
        <v/>
      </c>
      <c r="C496" s="46"/>
      <c r="D496" s="46"/>
      <c r="E496" s="46"/>
      <c r="F496" s="47"/>
      <c r="G496" s="48"/>
      <c r="H496" s="46"/>
      <c r="I496" s="49"/>
      <c r="J496" s="50"/>
      <c r="K496" s="51"/>
      <c r="L496" s="52">
        <f t="shared" si="76"/>
        <v>31</v>
      </c>
      <c r="M496" s="52">
        <f t="shared" si="76"/>
        <v>31</v>
      </c>
      <c r="N496" s="53"/>
      <c r="O496" s="170"/>
      <c r="P496" s="55"/>
      <c r="Q496" s="171"/>
      <c r="R496" s="56" t="str">
        <f t="shared" si="74"/>
        <v/>
      </c>
      <c r="S496" s="57" t="str">
        <f t="shared" si="75"/>
        <v/>
      </c>
      <c r="T496" s="58"/>
    </row>
    <row r="497" spans="2:20" x14ac:dyDescent="0.35">
      <c r="B497" s="45" t="str">
        <f>IF(J497="","",RANK($J497,$J$9:$J$620,0)+COUNTIF($J$9:J497,$J497)-1)</f>
        <v/>
      </c>
      <c r="C497" s="46"/>
      <c r="D497" s="46"/>
      <c r="E497" s="46"/>
      <c r="F497" s="47"/>
      <c r="G497" s="48"/>
      <c r="H497" s="46"/>
      <c r="I497" s="49"/>
      <c r="J497" s="50"/>
      <c r="K497" s="51"/>
      <c r="L497" s="52">
        <f t="shared" si="76"/>
        <v>31</v>
      </c>
      <c r="M497" s="52">
        <f t="shared" si="76"/>
        <v>31</v>
      </c>
      <c r="N497" s="53"/>
      <c r="O497" s="170"/>
      <c r="P497" s="55"/>
      <c r="Q497" s="171"/>
      <c r="R497" s="56" t="str">
        <f t="shared" si="74"/>
        <v/>
      </c>
      <c r="S497" s="57" t="str">
        <f t="shared" si="75"/>
        <v/>
      </c>
      <c r="T497" s="58"/>
    </row>
    <row r="498" spans="2:20" x14ac:dyDescent="0.35">
      <c r="B498" s="45" t="str">
        <f>IF(J498="","",RANK($J498,$J$9:$J$620,0)+COUNTIF($J$9:J498,$J498)-1)</f>
        <v/>
      </c>
      <c r="C498" s="46"/>
      <c r="D498" s="46"/>
      <c r="E498" s="46"/>
      <c r="F498" s="47"/>
      <c r="G498" s="48"/>
      <c r="H498" s="46"/>
      <c r="I498" s="49"/>
      <c r="J498" s="50"/>
      <c r="K498" s="51"/>
      <c r="L498" s="52">
        <f t="shared" si="76"/>
        <v>31</v>
      </c>
      <c r="M498" s="52">
        <f t="shared" si="76"/>
        <v>31</v>
      </c>
      <c r="N498" s="53"/>
      <c r="O498" s="170"/>
      <c r="P498" s="55"/>
      <c r="Q498" s="171"/>
      <c r="R498" s="56" t="str">
        <f t="shared" si="74"/>
        <v/>
      </c>
      <c r="S498" s="57" t="str">
        <f t="shared" si="75"/>
        <v/>
      </c>
      <c r="T498" s="58"/>
    </row>
    <row r="499" spans="2:20" x14ac:dyDescent="0.35">
      <c r="B499" s="45" t="str">
        <f>IF(J499="","",RANK($J499,$J$9:$J$620,0)+COUNTIF($J$9:J499,$J499)-1)</f>
        <v/>
      </c>
      <c r="C499" s="46"/>
      <c r="D499" s="46"/>
      <c r="E499" s="46"/>
      <c r="F499" s="47"/>
      <c r="G499" s="48"/>
      <c r="H499" s="46"/>
      <c r="I499" s="49"/>
      <c r="J499" s="50"/>
      <c r="K499" s="51"/>
      <c r="L499" s="52">
        <f t="shared" si="76"/>
        <v>31</v>
      </c>
      <c r="M499" s="52">
        <f t="shared" si="76"/>
        <v>31</v>
      </c>
      <c r="N499" s="53"/>
      <c r="O499" s="170"/>
      <c r="P499" s="55"/>
      <c r="Q499" s="171"/>
      <c r="R499" s="56" t="str">
        <f t="shared" si="74"/>
        <v/>
      </c>
      <c r="S499" s="57" t="str">
        <f t="shared" si="75"/>
        <v/>
      </c>
      <c r="T499" s="58"/>
    </row>
    <row r="500" spans="2:20" x14ac:dyDescent="0.35">
      <c r="B500" s="45" t="str">
        <f>IF(J500="","",RANK($J500,$J$9:$J$620,0)+COUNTIF($J$9:J500,$J500)-1)</f>
        <v/>
      </c>
      <c r="C500" s="46"/>
      <c r="D500" s="46"/>
      <c r="E500" s="46"/>
      <c r="F500" s="47"/>
      <c r="G500" s="48"/>
      <c r="H500" s="46"/>
      <c r="I500" s="49"/>
      <c r="J500" s="50"/>
      <c r="K500" s="51"/>
      <c r="L500" s="52">
        <f t="shared" si="76"/>
        <v>31</v>
      </c>
      <c r="M500" s="52">
        <f t="shared" si="76"/>
        <v>31</v>
      </c>
      <c r="N500" s="53"/>
      <c r="O500" s="170"/>
      <c r="P500" s="55"/>
      <c r="Q500" s="171"/>
      <c r="R500" s="56" t="str">
        <f t="shared" si="74"/>
        <v/>
      </c>
      <c r="S500" s="57" t="str">
        <f t="shared" si="75"/>
        <v/>
      </c>
      <c r="T500" s="58"/>
    </row>
    <row r="501" spans="2:20" x14ac:dyDescent="0.35">
      <c r="B501" s="45" t="str">
        <f>IF(J501="","",RANK($J501,$J$9:$J$620,0)+COUNTIF($J$9:J501,$J501)-1)</f>
        <v/>
      </c>
      <c r="C501" s="46"/>
      <c r="D501" s="46"/>
      <c r="E501" s="46"/>
      <c r="F501" s="47"/>
      <c r="G501" s="48"/>
      <c r="H501" s="46"/>
      <c r="I501" s="49"/>
      <c r="J501" s="50"/>
      <c r="K501" s="51"/>
      <c r="L501" s="52">
        <f t="shared" si="76"/>
        <v>31</v>
      </c>
      <c r="M501" s="52">
        <f t="shared" si="76"/>
        <v>31</v>
      </c>
      <c r="N501" s="53"/>
      <c r="O501" s="170"/>
      <c r="P501" s="55"/>
      <c r="Q501" s="171"/>
      <c r="R501" s="56" t="str">
        <f t="shared" si="74"/>
        <v/>
      </c>
      <c r="S501" s="57" t="str">
        <f t="shared" si="75"/>
        <v/>
      </c>
      <c r="T501" s="58"/>
    </row>
    <row r="502" spans="2:20" x14ac:dyDescent="0.35">
      <c r="B502" s="45" t="str">
        <f>IF(J502="","",RANK($J502,$J$9:$J$620,0)+COUNTIF($J$9:J502,$J502)-1)</f>
        <v/>
      </c>
      <c r="C502" s="46"/>
      <c r="D502" s="46"/>
      <c r="E502" s="46"/>
      <c r="F502" s="47"/>
      <c r="G502" s="48"/>
      <c r="H502" s="46"/>
      <c r="I502" s="49"/>
      <c r="J502" s="50"/>
      <c r="K502" s="51"/>
      <c r="L502" s="52">
        <f t="shared" si="76"/>
        <v>31</v>
      </c>
      <c r="M502" s="52">
        <f t="shared" si="76"/>
        <v>31</v>
      </c>
      <c r="N502" s="53"/>
      <c r="O502" s="170"/>
      <c r="P502" s="55"/>
      <c r="Q502" s="171"/>
      <c r="R502" s="56" t="str">
        <f t="shared" si="74"/>
        <v/>
      </c>
      <c r="S502" s="57" t="str">
        <f t="shared" si="75"/>
        <v/>
      </c>
      <c r="T502" s="58"/>
    </row>
    <row r="503" spans="2:20" x14ac:dyDescent="0.35">
      <c r="B503" s="45" t="str">
        <f>IF(J503="","",RANK($J503,$J$9:$J$620,0)+COUNTIF($J$9:J503,$J503)-1)</f>
        <v/>
      </c>
      <c r="C503" s="46"/>
      <c r="D503" s="46"/>
      <c r="E503" s="46"/>
      <c r="F503" s="47"/>
      <c r="G503" s="48"/>
      <c r="H503" s="46"/>
      <c r="I503" s="49"/>
      <c r="J503" s="50"/>
      <c r="K503" s="51"/>
      <c r="L503" s="52">
        <f t="shared" si="76"/>
        <v>31</v>
      </c>
      <c r="M503" s="52">
        <f t="shared" si="76"/>
        <v>31</v>
      </c>
      <c r="N503" s="53"/>
      <c r="O503" s="170"/>
      <c r="P503" s="55"/>
      <c r="Q503" s="171"/>
      <c r="R503" s="56" t="str">
        <f t="shared" si="74"/>
        <v/>
      </c>
      <c r="S503" s="57" t="str">
        <f t="shared" si="75"/>
        <v/>
      </c>
      <c r="T503" s="58"/>
    </row>
    <row r="504" spans="2:20" x14ac:dyDescent="0.35">
      <c r="B504" s="45" t="str">
        <f>IF(J504="","",RANK($J504,$J$9:$J$620,0)+COUNTIF($J$9:J504,$J504)-1)</f>
        <v/>
      </c>
      <c r="C504" s="46"/>
      <c r="D504" s="46"/>
      <c r="E504" s="46"/>
      <c r="F504" s="47"/>
      <c r="G504" s="48"/>
      <c r="H504" s="46"/>
      <c r="I504" s="49"/>
      <c r="J504" s="50"/>
      <c r="K504" s="51"/>
      <c r="L504" s="52">
        <f t="shared" si="76"/>
        <v>31</v>
      </c>
      <c r="M504" s="52">
        <f t="shared" si="76"/>
        <v>31</v>
      </c>
      <c r="N504" s="53"/>
      <c r="O504" s="170"/>
      <c r="P504" s="55"/>
      <c r="Q504" s="171"/>
      <c r="R504" s="56" t="str">
        <f t="shared" si="74"/>
        <v/>
      </c>
      <c r="S504" s="57" t="str">
        <f t="shared" si="75"/>
        <v/>
      </c>
      <c r="T504" s="58"/>
    </row>
    <row r="505" spans="2:20" x14ac:dyDescent="0.35">
      <c r="B505" s="45" t="str">
        <f>IF(J505="","",RANK($J505,$J$9:$J$620,0)+COUNTIF($J$9:J505,$J505)-1)</f>
        <v/>
      </c>
      <c r="C505" s="46"/>
      <c r="D505" s="46"/>
      <c r="E505" s="46"/>
      <c r="F505" s="47"/>
      <c r="G505" s="48"/>
      <c r="H505" s="46"/>
      <c r="I505" s="49"/>
      <c r="J505" s="50"/>
      <c r="K505" s="51"/>
      <c r="L505" s="52">
        <f t="shared" si="76"/>
        <v>31</v>
      </c>
      <c r="M505" s="52">
        <f t="shared" si="76"/>
        <v>31</v>
      </c>
      <c r="N505" s="53"/>
      <c r="O505" s="170"/>
      <c r="P505" s="55"/>
      <c r="Q505" s="171"/>
      <c r="R505" s="56" t="str">
        <f t="shared" si="74"/>
        <v/>
      </c>
      <c r="S505" s="57" t="str">
        <f t="shared" si="75"/>
        <v/>
      </c>
      <c r="T505" s="58"/>
    </row>
    <row r="506" spans="2:20" x14ac:dyDescent="0.35">
      <c r="B506" s="45" t="str">
        <f>IF(J506="","",RANK($J506,$J$9:$J$620,0)+COUNTIF($J$9:J506,$J506)-1)</f>
        <v/>
      </c>
      <c r="C506" s="46"/>
      <c r="D506" s="46"/>
      <c r="E506" s="46"/>
      <c r="F506" s="47"/>
      <c r="G506" s="48"/>
      <c r="H506" s="46"/>
      <c r="I506" s="49"/>
      <c r="J506" s="50"/>
      <c r="K506" s="51"/>
      <c r="L506" s="52">
        <f t="shared" si="76"/>
        <v>31</v>
      </c>
      <c r="M506" s="52">
        <f t="shared" si="76"/>
        <v>31</v>
      </c>
      <c r="N506" s="53"/>
      <c r="O506" s="170"/>
      <c r="P506" s="55"/>
      <c r="Q506" s="171"/>
      <c r="R506" s="56" t="str">
        <f t="shared" si="74"/>
        <v/>
      </c>
      <c r="S506" s="57" t="str">
        <f t="shared" si="75"/>
        <v/>
      </c>
      <c r="T506" s="58"/>
    </row>
    <row r="507" spans="2:20" x14ac:dyDescent="0.35">
      <c r="B507" s="45" t="str">
        <f>IF(J507="","",RANK($J507,$J$9:$J$620,0)+COUNTIF($J$9:J507,$J507)-1)</f>
        <v/>
      </c>
      <c r="C507" s="46"/>
      <c r="D507" s="46"/>
      <c r="E507" s="46"/>
      <c r="F507" s="47"/>
      <c r="G507" s="48"/>
      <c r="H507" s="46"/>
      <c r="I507" s="49"/>
      <c r="J507" s="50"/>
      <c r="K507" s="51"/>
      <c r="L507" s="52">
        <f t="shared" si="76"/>
        <v>31</v>
      </c>
      <c r="M507" s="52">
        <f t="shared" si="76"/>
        <v>31</v>
      </c>
      <c r="N507" s="53"/>
      <c r="O507" s="170"/>
      <c r="P507" s="55"/>
      <c r="Q507" s="171"/>
      <c r="R507" s="56" t="str">
        <f t="shared" si="74"/>
        <v/>
      </c>
      <c r="S507" s="57" t="str">
        <f t="shared" si="75"/>
        <v/>
      </c>
      <c r="T507" s="58"/>
    </row>
    <row r="508" spans="2:20" x14ac:dyDescent="0.35">
      <c r="B508" s="45" t="str">
        <f>IF(J508="","",RANK($J508,$J$9:$J$620,0)+COUNTIF($J$9:J508,$J508)-1)</f>
        <v/>
      </c>
      <c r="C508" s="46"/>
      <c r="D508" s="46"/>
      <c r="E508" s="46"/>
      <c r="F508" s="47"/>
      <c r="G508" s="48"/>
      <c r="H508" s="46"/>
      <c r="I508" s="49"/>
      <c r="J508" s="50"/>
      <c r="K508" s="51"/>
      <c r="L508" s="52">
        <f t="shared" si="76"/>
        <v>31</v>
      </c>
      <c r="M508" s="52">
        <f t="shared" si="76"/>
        <v>31</v>
      </c>
      <c r="N508" s="53"/>
      <c r="O508" s="170"/>
      <c r="P508" s="55"/>
      <c r="Q508" s="171"/>
      <c r="R508" s="56" t="str">
        <f t="shared" si="74"/>
        <v/>
      </c>
      <c r="S508" s="57" t="str">
        <f t="shared" si="75"/>
        <v/>
      </c>
      <c r="T508" s="58"/>
    </row>
    <row r="509" spans="2:20" x14ac:dyDescent="0.35">
      <c r="B509" s="45" t="str">
        <f>IF(J509="","",RANK($J509,$J$9:$J$620,0)+COUNTIF($J$9:J509,$J509)-1)</f>
        <v/>
      </c>
      <c r="C509" s="46"/>
      <c r="D509" s="46"/>
      <c r="E509" s="46"/>
      <c r="F509" s="47"/>
      <c r="G509" s="48"/>
      <c r="H509" s="46"/>
      <c r="I509" s="49"/>
      <c r="J509" s="50"/>
      <c r="K509" s="51"/>
      <c r="L509" s="52">
        <f t="shared" si="76"/>
        <v>31</v>
      </c>
      <c r="M509" s="52">
        <f t="shared" si="76"/>
        <v>31</v>
      </c>
      <c r="N509" s="53"/>
      <c r="O509" s="170"/>
      <c r="P509" s="55"/>
      <c r="Q509" s="171"/>
      <c r="R509" s="56" t="str">
        <f t="shared" si="74"/>
        <v/>
      </c>
      <c r="S509" s="57" t="str">
        <f t="shared" si="75"/>
        <v/>
      </c>
      <c r="T509" s="58"/>
    </row>
    <row r="510" spans="2:20" x14ac:dyDescent="0.35">
      <c r="B510" s="45" t="str">
        <f>IF(J510="","",RANK($J510,$J$9:$J$620,0)+COUNTIF($J$9:J510,$J510)-1)</f>
        <v/>
      </c>
      <c r="C510" s="46"/>
      <c r="D510" s="46"/>
      <c r="E510" s="46"/>
      <c r="F510" s="47"/>
      <c r="G510" s="48"/>
      <c r="H510" s="46"/>
      <c r="I510" s="49"/>
      <c r="J510" s="50"/>
      <c r="K510" s="51"/>
      <c r="L510" s="52">
        <f t="shared" si="76"/>
        <v>31</v>
      </c>
      <c r="M510" s="52">
        <f t="shared" si="76"/>
        <v>31</v>
      </c>
      <c r="N510" s="53"/>
      <c r="O510" s="170"/>
      <c r="P510" s="55"/>
      <c r="Q510" s="171"/>
      <c r="R510" s="56" t="str">
        <f t="shared" si="74"/>
        <v/>
      </c>
      <c r="S510" s="57" t="str">
        <f t="shared" si="75"/>
        <v/>
      </c>
      <c r="T510" s="58"/>
    </row>
    <row r="511" spans="2:20" x14ac:dyDescent="0.35">
      <c r="B511" s="45" t="str">
        <f>IF(J511="","",RANK($J511,$J$9:$J$620,0)+COUNTIF($J$9:J511,$J511)-1)</f>
        <v/>
      </c>
      <c r="C511" s="46"/>
      <c r="D511" s="46"/>
      <c r="E511" s="46"/>
      <c r="F511" s="47"/>
      <c r="G511" s="48"/>
      <c r="H511" s="46"/>
      <c r="I511" s="49"/>
      <c r="J511" s="50"/>
      <c r="K511" s="51"/>
      <c r="L511" s="52">
        <f t="shared" si="76"/>
        <v>31</v>
      </c>
      <c r="M511" s="52">
        <f t="shared" si="76"/>
        <v>31</v>
      </c>
      <c r="N511" s="53"/>
      <c r="O511" s="170"/>
      <c r="P511" s="55"/>
      <c r="Q511" s="171"/>
      <c r="R511" s="56" t="str">
        <f t="shared" si="74"/>
        <v/>
      </c>
      <c r="S511" s="57" t="str">
        <f t="shared" si="75"/>
        <v/>
      </c>
      <c r="T511" s="58"/>
    </row>
    <row r="512" spans="2:20" x14ac:dyDescent="0.35">
      <c r="B512" s="45" t="str">
        <f>IF(J512="","",RANK($J512,$J$9:$J$620,0)+COUNTIF($J$9:J512,$J512)-1)</f>
        <v/>
      </c>
      <c r="C512" s="46"/>
      <c r="D512" s="46"/>
      <c r="E512" s="46"/>
      <c r="F512" s="47"/>
      <c r="G512" s="48"/>
      <c r="H512" s="46"/>
      <c r="I512" s="49"/>
      <c r="J512" s="50"/>
      <c r="K512" s="51"/>
      <c r="L512" s="52">
        <f t="shared" si="76"/>
        <v>31</v>
      </c>
      <c r="M512" s="52">
        <f t="shared" si="76"/>
        <v>31</v>
      </c>
      <c r="N512" s="53"/>
      <c r="O512" s="170"/>
      <c r="P512" s="55"/>
      <c r="Q512" s="171"/>
      <c r="R512" s="56" t="str">
        <f t="shared" si="74"/>
        <v/>
      </c>
      <c r="S512" s="57" t="str">
        <f t="shared" si="75"/>
        <v/>
      </c>
      <c r="T512" s="58"/>
    </row>
    <row r="513" spans="2:20" x14ac:dyDescent="0.35">
      <c r="B513" s="45" t="str">
        <f>IF(J513="","",RANK($J513,$J$9:$J$620,0)+COUNTIF($J$9:J513,$J513)-1)</f>
        <v/>
      </c>
      <c r="C513" s="46"/>
      <c r="D513" s="46"/>
      <c r="E513" s="46"/>
      <c r="F513" s="47"/>
      <c r="G513" s="48"/>
      <c r="H513" s="46"/>
      <c r="I513" s="49"/>
      <c r="J513" s="50"/>
      <c r="K513" s="51"/>
      <c r="L513" s="52">
        <f t="shared" si="76"/>
        <v>31</v>
      </c>
      <c r="M513" s="52">
        <f t="shared" si="76"/>
        <v>31</v>
      </c>
      <c r="N513" s="53"/>
      <c r="O513" s="170"/>
      <c r="P513" s="55"/>
      <c r="Q513" s="171"/>
      <c r="R513" s="56" t="str">
        <f t="shared" si="74"/>
        <v/>
      </c>
      <c r="S513" s="57" t="str">
        <f t="shared" si="75"/>
        <v/>
      </c>
      <c r="T513" s="58"/>
    </row>
    <row r="514" spans="2:20" x14ac:dyDescent="0.35">
      <c r="B514" s="45" t="str">
        <f>IF(J514="","",RANK($J514,$J$9:$J$620,0)+COUNTIF($J$9:J514,$J514)-1)</f>
        <v/>
      </c>
      <c r="C514" s="46"/>
      <c r="D514" s="46"/>
      <c r="E514" s="46"/>
      <c r="F514" s="47"/>
      <c r="G514" s="48"/>
      <c r="H514" s="46"/>
      <c r="I514" s="49"/>
      <c r="J514" s="50"/>
      <c r="K514" s="51"/>
      <c r="L514" s="52">
        <f t="shared" si="76"/>
        <v>31</v>
      </c>
      <c r="M514" s="52">
        <f t="shared" si="76"/>
        <v>31</v>
      </c>
      <c r="N514" s="53"/>
      <c r="O514" s="170"/>
      <c r="P514" s="55"/>
      <c r="Q514" s="171"/>
      <c r="R514" s="56" t="str">
        <f t="shared" si="74"/>
        <v/>
      </c>
      <c r="S514" s="57" t="str">
        <f t="shared" si="75"/>
        <v/>
      </c>
      <c r="T514" s="58"/>
    </row>
    <row r="515" spans="2:20" x14ac:dyDescent="0.35">
      <c r="B515" s="45" t="str">
        <f>IF(J515="","",RANK($J515,$J$9:$J$620,0)+COUNTIF($J$9:J515,$J515)-1)</f>
        <v/>
      </c>
      <c r="C515" s="46"/>
      <c r="D515" s="46"/>
      <c r="E515" s="46"/>
      <c r="F515" s="47"/>
      <c r="G515" s="48"/>
      <c r="H515" s="46"/>
      <c r="I515" s="49"/>
      <c r="J515" s="50"/>
      <c r="K515" s="51"/>
      <c r="L515" s="52">
        <f t="shared" si="76"/>
        <v>31</v>
      </c>
      <c r="M515" s="52">
        <f t="shared" si="76"/>
        <v>31</v>
      </c>
      <c r="N515" s="53"/>
      <c r="O515" s="170"/>
      <c r="P515" s="55"/>
      <c r="Q515" s="171"/>
      <c r="R515" s="56" t="str">
        <f t="shared" si="74"/>
        <v/>
      </c>
      <c r="S515" s="57" t="str">
        <f t="shared" si="75"/>
        <v/>
      </c>
      <c r="T515" s="58"/>
    </row>
    <row r="516" spans="2:20" x14ac:dyDescent="0.35">
      <c r="B516" s="45" t="str">
        <f>IF(J516="","",RANK($J516,$J$9:$J$620,0)+COUNTIF($J$9:J516,$J516)-1)</f>
        <v/>
      </c>
      <c r="C516" s="46"/>
      <c r="D516" s="46"/>
      <c r="E516" s="46"/>
      <c r="F516" s="47"/>
      <c r="G516" s="48"/>
      <c r="H516" s="46"/>
      <c r="I516" s="49"/>
      <c r="J516" s="50"/>
      <c r="K516" s="51"/>
      <c r="L516" s="52">
        <f t="shared" si="76"/>
        <v>31</v>
      </c>
      <c r="M516" s="52">
        <f t="shared" si="76"/>
        <v>31</v>
      </c>
      <c r="N516" s="53"/>
      <c r="O516" s="170"/>
      <c r="P516" s="55"/>
      <c r="Q516" s="171"/>
      <c r="R516" s="56" t="str">
        <f t="shared" si="74"/>
        <v/>
      </c>
      <c r="S516" s="57" t="str">
        <f t="shared" si="75"/>
        <v/>
      </c>
      <c r="T516" s="58"/>
    </row>
    <row r="517" spans="2:20" x14ac:dyDescent="0.35">
      <c r="B517" s="45" t="str">
        <f>IF(J517="","",RANK($J517,$J$9:$J$620,0)+COUNTIF($J$9:J517,$J517)-1)</f>
        <v/>
      </c>
      <c r="C517" s="46"/>
      <c r="D517" s="46"/>
      <c r="E517" s="46"/>
      <c r="F517" s="47"/>
      <c r="G517" s="48"/>
      <c r="H517" s="46"/>
      <c r="I517" s="49"/>
      <c r="J517" s="50"/>
      <c r="K517" s="51"/>
      <c r="L517" s="52">
        <f t="shared" si="76"/>
        <v>31</v>
      </c>
      <c r="M517" s="52">
        <f t="shared" si="76"/>
        <v>31</v>
      </c>
      <c r="N517" s="53"/>
      <c r="O517" s="170"/>
      <c r="P517" s="55"/>
      <c r="Q517" s="171"/>
      <c r="R517" s="56" t="str">
        <f t="shared" si="74"/>
        <v/>
      </c>
      <c r="S517" s="57" t="str">
        <f t="shared" si="75"/>
        <v/>
      </c>
      <c r="T517" s="58"/>
    </row>
    <row r="518" spans="2:20" x14ac:dyDescent="0.35">
      <c r="B518" s="45" t="str">
        <f>IF(J518="","",RANK($J518,$J$9:$J$620,0)+COUNTIF($J$9:J518,$J518)-1)</f>
        <v/>
      </c>
      <c r="C518" s="46"/>
      <c r="D518" s="46"/>
      <c r="E518" s="46"/>
      <c r="F518" s="47"/>
      <c r="G518" s="48"/>
      <c r="H518" s="46"/>
      <c r="I518" s="49"/>
      <c r="J518" s="50"/>
      <c r="K518" s="51"/>
      <c r="L518" s="52">
        <f t="shared" si="76"/>
        <v>31</v>
      </c>
      <c r="M518" s="52">
        <f t="shared" si="76"/>
        <v>31</v>
      </c>
      <c r="N518" s="53"/>
      <c r="O518" s="170"/>
      <c r="P518" s="55"/>
      <c r="Q518" s="171"/>
      <c r="R518" s="56" t="str">
        <f t="shared" si="74"/>
        <v/>
      </c>
      <c r="S518" s="57" t="str">
        <f t="shared" si="75"/>
        <v/>
      </c>
      <c r="T518" s="58"/>
    </row>
    <row r="519" spans="2:20" x14ac:dyDescent="0.35">
      <c r="B519" s="45" t="str">
        <f>IF(J519="","",RANK($J519,$J$9:$J$620,0)+COUNTIF($J$9:J519,$J519)-1)</f>
        <v/>
      </c>
      <c r="C519" s="46"/>
      <c r="D519" s="46"/>
      <c r="E519" s="46"/>
      <c r="F519" s="47"/>
      <c r="G519" s="48"/>
      <c r="H519" s="46"/>
      <c r="I519" s="49"/>
      <c r="J519" s="50"/>
      <c r="K519" s="51"/>
      <c r="L519" s="52">
        <f t="shared" si="76"/>
        <v>31</v>
      </c>
      <c r="M519" s="52">
        <f t="shared" si="76"/>
        <v>31</v>
      </c>
      <c r="N519" s="53"/>
      <c r="O519" s="170"/>
      <c r="P519" s="55"/>
      <c r="Q519" s="171"/>
      <c r="R519" s="56" t="str">
        <f t="shared" si="74"/>
        <v/>
      </c>
      <c r="S519" s="57" t="str">
        <f t="shared" si="75"/>
        <v/>
      </c>
      <c r="T519" s="58"/>
    </row>
    <row r="520" spans="2:20" x14ac:dyDescent="0.35">
      <c r="B520" s="45" t="str">
        <f>IF(J520="","",RANK($J520,$J$9:$J$620,0)+COUNTIF($J$9:J520,$J520)-1)</f>
        <v/>
      </c>
      <c r="C520" s="46"/>
      <c r="D520" s="46"/>
      <c r="E520" s="46"/>
      <c r="F520" s="47"/>
      <c r="G520" s="48"/>
      <c r="H520" s="46"/>
      <c r="I520" s="49"/>
      <c r="J520" s="50"/>
      <c r="K520" s="51"/>
      <c r="L520" s="52">
        <f t="shared" si="76"/>
        <v>31</v>
      </c>
      <c r="M520" s="52">
        <f t="shared" si="76"/>
        <v>31</v>
      </c>
      <c r="N520" s="53"/>
      <c r="O520" s="170"/>
      <c r="P520" s="55"/>
      <c r="Q520" s="171"/>
      <c r="R520" s="56" t="str">
        <f t="shared" si="74"/>
        <v/>
      </c>
      <c r="S520" s="57" t="str">
        <f t="shared" si="75"/>
        <v/>
      </c>
      <c r="T520" s="58"/>
    </row>
    <row r="521" spans="2:20" x14ac:dyDescent="0.35">
      <c r="B521" s="45" t="str">
        <f>IF(J521="","",RANK($J521,$J$9:$J$620,0)+COUNTIF($J$9:J521,$J521)-1)</f>
        <v/>
      </c>
      <c r="C521" s="46"/>
      <c r="D521" s="46"/>
      <c r="E521" s="46"/>
      <c r="F521" s="47"/>
      <c r="G521" s="48"/>
      <c r="H521" s="46"/>
      <c r="I521" s="49"/>
      <c r="J521" s="50"/>
      <c r="K521" s="51"/>
      <c r="L521" s="52">
        <f t="shared" si="76"/>
        <v>31</v>
      </c>
      <c r="M521" s="52">
        <f t="shared" si="76"/>
        <v>31</v>
      </c>
      <c r="N521" s="53"/>
      <c r="O521" s="170"/>
      <c r="P521" s="55"/>
      <c r="Q521" s="171"/>
      <c r="R521" s="56" t="str">
        <f t="shared" si="74"/>
        <v/>
      </c>
      <c r="S521" s="57" t="str">
        <f t="shared" si="75"/>
        <v/>
      </c>
      <c r="T521" s="58"/>
    </row>
    <row r="522" spans="2:20" x14ac:dyDescent="0.35">
      <c r="B522" s="45" t="str">
        <f>IF(J522="","",RANK($J522,$J$9:$J$620,0)+COUNTIF($J$9:J522,$J522)-1)</f>
        <v/>
      </c>
      <c r="C522" s="46"/>
      <c r="D522" s="46"/>
      <c r="E522" s="46"/>
      <c r="F522" s="47"/>
      <c r="G522" s="48"/>
      <c r="H522" s="46"/>
      <c r="I522" s="49"/>
      <c r="J522" s="50"/>
      <c r="K522" s="51"/>
      <c r="L522" s="52">
        <f t="shared" si="76"/>
        <v>31</v>
      </c>
      <c r="M522" s="52">
        <f t="shared" si="76"/>
        <v>31</v>
      </c>
      <c r="N522" s="53"/>
      <c r="O522" s="170"/>
      <c r="P522" s="55"/>
      <c r="Q522" s="171"/>
      <c r="R522" s="56" t="str">
        <f t="shared" ref="R522:R585" si="77">IF(I522="","",IF(($G$5-I522)/365&gt;1.5,"Renewed Lease","New Lease"))</f>
        <v/>
      </c>
      <c r="S522" s="57" t="str">
        <f t="shared" ref="S522:S585" si="78">IF(Q522="","",IFERROR(1-Q522/P522,""))</f>
        <v/>
      </c>
      <c r="T522" s="58"/>
    </row>
    <row r="523" spans="2:20" x14ac:dyDescent="0.35">
      <c r="B523" s="45" t="str">
        <f>IF(J523="","",RANK($J523,$J$9:$J$620,0)+COUNTIF($J$9:J523,$J523)-1)</f>
        <v/>
      </c>
      <c r="C523" s="46"/>
      <c r="D523" s="46"/>
      <c r="E523" s="46"/>
      <c r="F523" s="47"/>
      <c r="G523" s="48"/>
      <c r="H523" s="46"/>
      <c r="I523" s="49"/>
      <c r="J523" s="50"/>
      <c r="K523" s="51"/>
      <c r="L523" s="52">
        <f t="shared" si="76"/>
        <v>31</v>
      </c>
      <c r="M523" s="52">
        <f t="shared" si="76"/>
        <v>31</v>
      </c>
      <c r="N523" s="53"/>
      <c r="O523" s="170"/>
      <c r="P523" s="55"/>
      <c r="Q523" s="171"/>
      <c r="R523" s="56" t="str">
        <f t="shared" si="77"/>
        <v/>
      </c>
      <c r="S523" s="57" t="str">
        <f t="shared" si="78"/>
        <v/>
      </c>
      <c r="T523" s="58"/>
    </row>
    <row r="524" spans="2:20" x14ac:dyDescent="0.35">
      <c r="B524" s="45" t="str">
        <f>IF(J524="","",RANK($J524,$J$9:$J$620,0)+COUNTIF($J$9:J524,$J524)-1)</f>
        <v/>
      </c>
      <c r="C524" s="46"/>
      <c r="D524" s="46"/>
      <c r="E524" s="46"/>
      <c r="F524" s="47"/>
      <c r="G524" s="48"/>
      <c r="H524" s="46"/>
      <c r="I524" s="49"/>
      <c r="J524" s="50"/>
      <c r="K524" s="51"/>
      <c r="L524" s="52">
        <f t="shared" si="76"/>
        <v>31</v>
      </c>
      <c r="M524" s="52">
        <f t="shared" si="76"/>
        <v>31</v>
      </c>
      <c r="N524" s="53"/>
      <c r="O524" s="170"/>
      <c r="P524" s="55"/>
      <c r="Q524" s="171"/>
      <c r="R524" s="56" t="str">
        <f t="shared" si="77"/>
        <v/>
      </c>
      <c r="S524" s="57" t="str">
        <f t="shared" si="78"/>
        <v/>
      </c>
      <c r="T524" s="58"/>
    </row>
    <row r="525" spans="2:20" x14ac:dyDescent="0.35">
      <c r="B525" s="45" t="str">
        <f>IF(J525="","",RANK($J525,$J$9:$J$620,0)+COUNTIF($J$9:J525,$J525)-1)</f>
        <v/>
      </c>
      <c r="C525" s="46"/>
      <c r="D525" s="46"/>
      <c r="E525" s="46"/>
      <c r="F525" s="47"/>
      <c r="G525" s="48"/>
      <c r="H525" s="46"/>
      <c r="I525" s="49"/>
      <c r="J525" s="50"/>
      <c r="K525" s="51"/>
      <c r="L525" s="52">
        <f t="shared" si="76"/>
        <v>31</v>
      </c>
      <c r="M525" s="52">
        <f t="shared" si="76"/>
        <v>31</v>
      </c>
      <c r="N525" s="53"/>
      <c r="O525" s="170"/>
      <c r="P525" s="55"/>
      <c r="Q525" s="171"/>
      <c r="R525" s="56" t="str">
        <f t="shared" si="77"/>
        <v/>
      </c>
      <c r="S525" s="57" t="str">
        <f t="shared" si="78"/>
        <v/>
      </c>
      <c r="T525" s="58"/>
    </row>
    <row r="526" spans="2:20" x14ac:dyDescent="0.35">
      <c r="B526" s="45" t="str">
        <f>IF(J526="","",RANK($J526,$J$9:$J$620,0)+COUNTIF($J$9:J526,$J526)-1)</f>
        <v/>
      </c>
      <c r="C526" s="46"/>
      <c r="D526" s="46"/>
      <c r="E526" s="46"/>
      <c r="F526" s="47"/>
      <c r="G526" s="48"/>
      <c r="H526" s="46"/>
      <c r="I526" s="49"/>
      <c r="J526" s="50"/>
      <c r="K526" s="51"/>
      <c r="L526" s="52">
        <f t="shared" si="76"/>
        <v>31</v>
      </c>
      <c r="M526" s="52">
        <f t="shared" si="76"/>
        <v>31</v>
      </c>
      <c r="N526" s="53"/>
      <c r="O526" s="170"/>
      <c r="P526" s="55"/>
      <c r="Q526" s="171"/>
      <c r="R526" s="56" t="str">
        <f t="shared" si="77"/>
        <v/>
      </c>
      <c r="S526" s="57" t="str">
        <f t="shared" si="78"/>
        <v/>
      </c>
      <c r="T526" s="58"/>
    </row>
    <row r="527" spans="2:20" x14ac:dyDescent="0.35">
      <c r="B527" s="45" t="str">
        <f>IF(J527="","",RANK($J527,$J$9:$J$620,0)+COUNTIF($J$9:J527,$J527)-1)</f>
        <v/>
      </c>
      <c r="C527" s="46"/>
      <c r="D527" s="46"/>
      <c r="E527" s="46"/>
      <c r="F527" s="47"/>
      <c r="G527" s="48"/>
      <c r="H527" s="46"/>
      <c r="I527" s="49"/>
      <c r="J527" s="50"/>
      <c r="K527" s="51"/>
      <c r="L527" s="52">
        <f t="shared" si="76"/>
        <v>31</v>
      </c>
      <c r="M527" s="52">
        <f t="shared" si="76"/>
        <v>31</v>
      </c>
      <c r="N527" s="53"/>
      <c r="O527" s="170"/>
      <c r="P527" s="55"/>
      <c r="Q527" s="171"/>
      <c r="R527" s="56" t="str">
        <f t="shared" si="77"/>
        <v/>
      </c>
      <c r="S527" s="57" t="str">
        <f t="shared" si="78"/>
        <v/>
      </c>
      <c r="T527" s="58"/>
    </row>
    <row r="528" spans="2:20" x14ac:dyDescent="0.35">
      <c r="B528" s="45" t="str">
        <f>IF(J528="","",RANK($J528,$J$9:$J$620,0)+COUNTIF($J$9:J528,$J528)-1)</f>
        <v/>
      </c>
      <c r="C528" s="46"/>
      <c r="D528" s="46"/>
      <c r="E528" s="46"/>
      <c r="F528" s="47"/>
      <c r="G528" s="48"/>
      <c r="H528" s="46"/>
      <c r="I528" s="49"/>
      <c r="J528" s="50"/>
      <c r="K528" s="51"/>
      <c r="L528" s="52">
        <f t="shared" si="76"/>
        <v>31</v>
      </c>
      <c r="M528" s="52">
        <f t="shared" si="76"/>
        <v>31</v>
      </c>
      <c r="N528" s="53"/>
      <c r="O528" s="170"/>
      <c r="P528" s="55"/>
      <c r="Q528" s="171"/>
      <c r="R528" s="56" t="str">
        <f t="shared" si="77"/>
        <v/>
      </c>
      <c r="S528" s="57" t="str">
        <f t="shared" si="78"/>
        <v/>
      </c>
      <c r="T528" s="58"/>
    </row>
    <row r="529" spans="2:20" x14ac:dyDescent="0.35">
      <c r="B529" s="45" t="str">
        <f>IF(J529="","",RANK($J529,$J$9:$J$620,0)+COUNTIF($J$9:J529,$J529)-1)</f>
        <v/>
      </c>
      <c r="C529" s="46"/>
      <c r="D529" s="46"/>
      <c r="E529" s="46"/>
      <c r="F529" s="47"/>
      <c r="G529" s="48"/>
      <c r="H529" s="46"/>
      <c r="I529" s="49"/>
      <c r="J529" s="50"/>
      <c r="K529" s="51"/>
      <c r="L529" s="52">
        <f t="shared" si="76"/>
        <v>31</v>
      </c>
      <c r="M529" s="52">
        <f t="shared" si="76"/>
        <v>31</v>
      </c>
      <c r="N529" s="53"/>
      <c r="O529" s="170"/>
      <c r="P529" s="55"/>
      <c r="Q529" s="171"/>
      <c r="R529" s="56" t="str">
        <f t="shared" si="77"/>
        <v/>
      </c>
      <c r="S529" s="57" t="str">
        <f t="shared" si="78"/>
        <v/>
      </c>
      <c r="T529" s="58"/>
    </row>
    <row r="530" spans="2:20" x14ac:dyDescent="0.35">
      <c r="B530" s="45" t="str">
        <f>IF(J530="","",RANK($J530,$J$9:$J$620,0)+COUNTIF($J$9:J530,$J530)-1)</f>
        <v/>
      </c>
      <c r="C530" s="46"/>
      <c r="D530" s="46"/>
      <c r="E530" s="46"/>
      <c r="F530" s="47"/>
      <c r="G530" s="48"/>
      <c r="H530" s="46"/>
      <c r="I530" s="49"/>
      <c r="J530" s="50"/>
      <c r="K530" s="51"/>
      <c r="L530" s="52">
        <f t="shared" ref="L530:M593" si="79">EOMONTH(J530,0)</f>
        <v>31</v>
      </c>
      <c r="M530" s="52">
        <f t="shared" si="79"/>
        <v>31</v>
      </c>
      <c r="N530" s="53"/>
      <c r="O530" s="170"/>
      <c r="P530" s="55"/>
      <c r="Q530" s="171"/>
      <c r="R530" s="56" t="str">
        <f t="shared" si="77"/>
        <v/>
      </c>
      <c r="S530" s="57" t="str">
        <f t="shared" si="78"/>
        <v/>
      </c>
      <c r="T530" s="58"/>
    </row>
    <row r="531" spans="2:20" x14ac:dyDescent="0.35">
      <c r="B531" s="45" t="str">
        <f>IF(J531="","",RANK($J531,$J$9:$J$620,0)+COUNTIF($J$9:J531,$J531)-1)</f>
        <v/>
      </c>
      <c r="C531" s="46"/>
      <c r="D531" s="46"/>
      <c r="E531" s="46"/>
      <c r="F531" s="47"/>
      <c r="G531" s="48"/>
      <c r="H531" s="46"/>
      <c r="I531" s="49"/>
      <c r="J531" s="50"/>
      <c r="K531" s="51"/>
      <c r="L531" s="52">
        <f t="shared" si="79"/>
        <v>31</v>
      </c>
      <c r="M531" s="52">
        <f t="shared" si="79"/>
        <v>31</v>
      </c>
      <c r="N531" s="53"/>
      <c r="O531" s="170"/>
      <c r="P531" s="55"/>
      <c r="Q531" s="171"/>
      <c r="R531" s="56" t="str">
        <f t="shared" si="77"/>
        <v/>
      </c>
      <c r="S531" s="57" t="str">
        <f t="shared" si="78"/>
        <v/>
      </c>
      <c r="T531" s="58"/>
    </row>
    <row r="532" spans="2:20" x14ac:dyDescent="0.35">
      <c r="B532" s="45" t="str">
        <f>IF(J532="","",RANK($J532,$J$9:$J$620,0)+COUNTIF($J$9:J532,$J532)-1)</f>
        <v/>
      </c>
      <c r="C532" s="46"/>
      <c r="D532" s="46"/>
      <c r="E532" s="46"/>
      <c r="F532" s="47"/>
      <c r="G532" s="48"/>
      <c r="H532" s="46"/>
      <c r="I532" s="49"/>
      <c r="J532" s="50"/>
      <c r="K532" s="51"/>
      <c r="L532" s="52">
        <f t="shared" si="79"/>
        <v>31</v>
      </c>
      <c r="M532" s="52">
        <f t="shared" si="79"/>
        <v>31</v>
      </c>
      <c r="N532" s="53"/>
      <c r="O532" s="170"/>
      <c r="P532" s="55"/>
      <c r="Q532" s="171"/>
      <c r="R532" s="56" t="str">
        <f t="shared" si="77"/>
        <v/>
      </c>
      <c r="S532" s="57" t="str">
        <f t="shared" si="78"/>
        <v/>
      </c>
      <c r="T532" s="58"/>
    </row>
    <row r="533" spans="2:20" x14ac:dyDescent="0.35">
      <c r="B533" s="45" t="str">
        <f>IF(J533="","",RANK($J533,$J$9:$J$620,0)+COUNTIF($J$9:J533,$J533)-1)</f>
        <v/>
      </c>
      <c r="C533" s="46"/>
      <c r="D533" s="46"/>
      <c r="E533" s="46"/>
      <c r="F533" s="47"/>
      <c r="G533" s="48"/>
      <c r="H533" s="46"/>
      <c r="I533" s="49"/>
      <c r="J533" s="50"/>
      <c r="K533" s="51"/>
      <c r="L533" s="52">
        <f t="shared" si="79"/>
        <v>31</v>
      </c>
      <c r="M533" s="52">
        <f t="shared" si="79"/>
        <v>31</v>
      </c>
      <c r="N533" s="53"/>
      <c r="O533" s="170"/>
      <c r="P533" s="55"/>
      <c r="Q533" s="171"/>
      <c r="R533" s="56" t="str">
        <f t="shared" si="77"/>
        <v/>
      </c>
      <c r="S533" s="57" t="str">
        <f t="shared" si="78"/>
        <v/>
      </c>
      <c r="T533" s="58"/>
    </row>
    <row r="534" spans="2:20" x14ac:dyDescent="0.35">
      <c r="B534" s="45" t="str">
        <f>IF(J534="","",RANK($J534,$J$9:$J$620,0)+COUNTIF($J$9:J534,$J534)-1)</f>
        <v/>
      </c>
      <c r="C534" s="46"/>
      <c r="D534" s="46"/>
      <c r="E534" s="46"/>
      <c r="F534" s="47"/>
      <c r="G534" s="48"/>
      <c r="H534" s="46"/>
      <c r="I534" s="49"/>
      <c r="J534" s="50"/>
      <c r="K534" s="51"/>
      <c r="L534" s="52">
        <f t="shared" si="79"/>
        <v>31</v>
      </c>
      <c r="M534" s="52">
        <f t="shared" si="79"/>
        <v>31</v>
      </c>
      <c r="N534" s="53"/>
      <c r="O534" s="170"/>
      <c r="P534" s="55"/>
      <c r="Q534" s="171"/>
      <c r="R534" s="56" t="str">
        <f t="shared" si="77"/>
        <v/>
      </c>
      <c r="S534" s="57" t="str">
        <f t="shared" si="78"/>
        <v/>
      </c>
      <c r="T534" s="58"/>
    </row>
    <row r="535" spans="2:20" x14ac:dyDescent="0.35">
      <c r="B535" s="45" t="str">
        <f>IF(J535="","",RANK($J535,$J$9:$J$620,0)+COUNTIF($J$9:J535,$J535)-1)</f>
        <v/>
      </c>
      <c r="C535" s="46"/>
      <c r="D535" s="46"/>
      <c r="E535" s="46"/>
      <c r="F535" s="47"/>
      <c r="G535" s="48"/>
      <c r="H535" s="46"/>
      <c r="I535" s="49"/>
      <c r="J535" s="50"/>
      <c r="K535" s="51"/>
      <c r="L535" s="52">
        <f t="shared" si="79"/>
        <v>31</v>
      </c>
      <c r="M535" s="52">
        <f t="shared" si="79"/>
        <v>31</v>
      </c>
      <c r="N535" s="53"/>
      <c r="O535" s="170"/>
      <c r="P535" s="55"/>
      <c r="Q535" s="171"/>
      <c r="R535" s="56" t="str">
        <f t="shared" si="77"/>
        <v/>
      </c>
      <c r="S535" s="57" t="str">
        <f t="shared" si="78"/>
        <v/>
      </c>
      <c r="T535" s="58"/>
    </row>
    <row r="536" spans="2:20" x14ac:dyDescent="0.35">
      <c r="B536" s="45" t="str">
        <f>IF(J536="","",RANK($J536,$J$9:$J$620,0)+COUNTIF($J$9:J536,$J536)-1)</f>
        <v/>
      </c>
      <c r="C536" s="46"/>
      <c r="D536" s="46"/>
      <c r="E536" s="46"/>
      <c r="F536" s="47"/>
      <c r="G536" s="48"/>
      <c r="H536" s="46"/>
      <c r="I536" s="49"/>
      <c r="J536" s="50"/>
      <c r="K536" s="51"/>
      <c r="L536" s="52">
        <f t="shared" si="79"/>
        <v>31</v>
      </c>
      <c r="M536" s="52">
        <f t="shared" si="79"/>
        <v>31</v>
      </c>
      <c r="N536" s="53"/>
      <c r="O536" s="170"/>
      <c r="P536" s="55"/>
      <c r="Q536" s="171"/>
      <c r="R536" s="56" t="str">
        <f t="shared" si="77"/>
        <v/>
      </c>
      <c r="S536" s="57" t="str">
        <f t="shared" si="78"/>
        <v/>
      </c>
      <c r="T536" s="58"/>
    </row>
    <row r="537" spans="2:20" x14ac:dyDescent="0.35">
      <c r="B537" s="45" t="str">
        <f>IF(J537="","",RANK($J537,$J$9:$J$620,0)+COUNTIF($J$9:J537,$J537)-1)</f>
        <v/>
      </c>
      <c r="C537" s="46"/>
      <c r="D537" s="46"/>
      <c r="E537" s="46"/>
      <c r="F537" s="47"/>
      <c r="G537" s="48"/>
      <c r="H537" s="46"/>
      <c r="I537" s="49"/>
      <c r="J537" s="50"/>
      <c r="K537" s="51"/>
      <c r="L537" s="52">
        <f t="shared" si="79"/>
        <v>31</v>
      </c>
      <c r="M537" s="52">
        <f t="shared" si="79"/>
        <v>31</v>
      </c>
      <c r="N537" s="53"/>
      <c r="O537" s="170"/>
      <c r="P537" s="55"/>
      <c r="Q537" s="171"/>
      <c r="R537" s="56" t="str">
        <f t="shared" si="77"/>
        <v/>
      </c>
      <c r="S537" s="57" t="str">
        <f t="shared" si="78"/>
        <v/>
      </c>
      <c r="T537" s="58"/>
    </row>
    <row r="538" spans="2:20" x14ac:dyDescent="0.35">
      <c r="B538" s="45" t="str">
        <f>IF(J538="","",RANK($J538,$J$9:$J$620,0)+COUNTIF($J$9:J538,$J538)-1)</f>
        <v/>
      </c>
      <c r="C538" s="46"/>
      <c r="D538" s="46"/>
      <c r="E538" s="46"/>
      <c r="F538" s="47"/>
      <c r="G538" s="48"/>
      <c r="H538" s="46"/>
      <c r="I538" s="49"/>
      <c r="J538" s="50"/>
      <c r="K538" s="51"/>
      <c r="L538" s="52">
        <f t="shared" si="79"/>
        <v>31</v>
      </c>
      <c r="M538" s="52">
        <f t="shared" si="79"/>
        <v>31</v>
      </c>
      <c r="N538" s="53"/>
      <c r="O538" s="170"/>
      <c r="P538" s="55"/>
      <c r="Q538" s="171"/>
      <c r="R538" s="56" t="str">
        <f t="shared" si="77"/>
        <v/>
      </c>
      <c r="S538" s="57" t="str">
        <f t="shared" si="78"/>
        <v/>
      </c>
      <c r="T538" s="58"/>
    </row>
    <row r="539" spans="2:20" x14ac:dyDescent="0.35">
      <c r="B539" s="45" t="str">
        <f>IF(J539="","",RANK($J539,$J$9:$J$620,0)+COUNTIF($J$9:J539,$J539)-1)</f>
        <v/>
      </c>
      <c r="C539" s="46"/>
      <c r="D539" s="46"/>
      <c r="E539" s="46"/>
      <c r="F539" s="47"/>
      <c r="G539" s="48"/>
      <c r="H539" s="46"/>
      <c r="I539" s="49"/>
      <c r="J539" s="50"/>
      <c r="K539" s="51"/>
      <c r="L539" s="52">
        <f t="shared" si="79"/>
        <v>31</v>
      </c>
      <c r="M539" s="52">
        <f t="shared" si="79"/>
        <v>31</v>
      </c>
      <c r="N539" s="53"/>
      <c r="O539" s="170"/>
      <c r="P539" s="55"/>
      <c r="Q539" s="171"/>
      <c r="R539" s="56" t="str">
        <f t="shared" si="77"/>
        <v/>
      </c>
      <c r="S539" s="57" t="str">
        <f t="shared" si="78"/>
        <v/>
      </c>
      <c r="T539" s="58"/>
    </row>
    <row r="540" spans="2:20" x14ac:dyDescent="0.35">
      <c r="B540" s="45" t="str">
        <f>IF(J540="","",RANK($J540,$J$9:$J$620,0)+COUNTIF($J$9:J540,$J540)-1)</f>
        <v/>
      </c>
      <c r="C540" s="46"/>
      <c r="D540" s="46"/>
      <c r="E540" s="46"/>
      <c r="F540" s="47"/>
      <c r="G540" s="48"/>
      <c r="H540" s="46"/>
      <c r="I540" s="49"/>
      <c r="J540" s="50"/>
      <c r="K540" s="51"/>
      <c r="L540" s="52">
        <f t="shared" si="79"/>
        <v>31</v>
      </c>
      <c r="M540" s="52">
        <f t="shared" si="79"/>
        <v>31</v>
      </c>
      <c r="N540" s="53"/>
      <c r="O540" s="170"/>
      <c r="P540" s="55"/>
      <c r="Q540" s="171"/>
      <c r="R540" s="56" t="str">
        <f t="shared" si="77"/>
        <v/>
      </c>
      <c r="S540" s="57" t="str">
        <f t="shared" si="78"/>
        <v/>
      </c>
      <c r="T540" s="58"/>
    </row>
    <row r="541" spans="2:20" x14ac:dyDescent="0.35">
      <c r="B541" s="45" t="str">
        <f>IF(J541="","",RANK($J541,$J$9:$J$620,0)+COUNTIF($J$9:J541,$J541)-1)</f>
        <v/>
      </c>
      <c r="C541" s="46"/>
      <c r="D541" s="46"/>
      <c r="E541" s="46"/>
      <c r="F541" s="47"/>
      <c r="G541" s="48"/>
      <c r="H541" s="46"/>
      <c r="I541" s="49"/>
      <c r="J541" s="50"/>
      <c r="K541" s="51"/>
      <c r="L541" s="52">
        <f t="shared" si="79"/>
        <v>31</v>
      </c>
      <c r="M541" s="52">
        <f t="shared" si="79"/>
        <v>31</v>
      </c>
      <c r="N541" s="53"/>
      <c r="O541" s="170"/>
      <c r="P541" s="55"/>
      <c r="Q541" s="171"/>
      <c r="R541" s="56" t="str">
        <f t="shared" si="77"/>
        <v/>
      </c>
      <c r="S541" s="57" t="str">
        <f t="shared" si="78"/>
        <v/>
      </c>
      <c r="T541" s="58"/>
    </row>
    <row r="542" spans="2:20" x14ac:dyDescent="0.35">
      <c r="B542" s="45" t="str">
        <f>IF(J542="","",RANK($J542,$J$9:$J$620,0)+COUNTIF($J$9:J542,$J542)-1)</f>
        <v/>
      </c>
      <c r="C542" s="46"/>
      <c r="D542" s="46"/>
      <c r="E542" s="46"/>
      <c r="F542" s="47"/>
      <c r="G542" s="48"/>
      <c r="H542" s="46"/>
      <c r="I542" s="49"/>
      <c r="J542" s="50"/>
      <c r="K542" s="51"/>
      <c r="L542" s="52">
        <f t="shared" si="79"/>
        <v>31</v>
      </c>
      <c r="M542" s="52">
        <f t="shared" si="79"/>
        <v>31</v>
      </c>
      <c r="N542" s="53"/>
      <c r="O542" s="170"/>
      <c r="P542" s="55"/>
      <c r="Q542" s="171"/>
      <c r="R542" s="56" t="str">
        <f t="shared" si="77"/>
        <v/>
      </c>
      <c r="S542" s="57" t="str">
        <f t="shared" si="78"/>
        <v/>
      </c>
      <c r="T542" s="58"/>
    </row>
    <row r="543" spans="2:20" x14ac:dyDescent="0.35">
      <c r="B543" s="45" t="str">
        <f>IF(J543="","",RANK($J543,$J$9:$J$620,0)+COUNTIF($J$9:J543,$J543)-1)</f>
        <v/>
      </c>
      <c r="C543" s="46"/>
      <c r="D543" s="46"/>
      <c r="E543" s="46"/>
      <c r="F543" s="47"/>
      <c r="G543" s="48"/>
      <c r="H543" s="46"/>
      <c r="I543" s="49"/>
      <c r="J543" s="50"/>
      <c r="K543" s="51"/>
      <c r="L543" s="52">
        <f t="shared" si="79"/>
        <v>31</v>
      </c>
      <c r="M543" s="52">
        <f t="shared" si="79"/>
        <v>31</v>
      </c>
      <c r="N543" s="53"/>
      <c r="O543" s="170"/>
      <c r="P543" s="55"/>
      <c r="Q543" s="171"/>
      <c r="R543" s="56" t="str">
        <f t="shared" si="77"/>
        <v/>
      </c>
      <c r="S543" s="57" t="str">
        <f t="shared" si="78"/>
        <v/>
      </c>
      <c r="T543" s="58"/>
    </row>
    <row r="544" spans="2:20" x14ac:dyDescent="0.35">
      <c r="B544" s="45" t="str">
        <f>IF(J544="","",RANK($J544,$J$9:$J$620,0)+COUNTIF($J$9:J544,$J544)-1)</f>
        <v/>
      </c>
      <c r="C544" s="46"/>
      <c r="D544" s="46"/>
      <c r="E544" s="46"/>
      <c r="F544" s="47"/>
      <c r="G544" s="48"/>
      <c r="H544" s="46"/>
      <c r="I544" s="49"/>
      <c r="J544" s="50"/>
      <c r="K544" s="51"/>
      <c r="L544" s="52">
        <f t="shared" si="79"/>
        <v>31</v>
      </c>
      <c r="M544" s="52">
        <f t="shared" si="79"/>
        <v>31</v>
      </c>
      <c r="N544" s="53"/>
      <c r="O544" s="170"/>
      <c r="P544" s="55"/>
      <c r="Q544" s="171"/>
      <c r="R544" s="56" t="str">
        <f t="shared" si="77"/>
        <v/>
      </c>
      <c r="S544" s="57" t="str">
        <f t="shared" si="78"/>
        <v/>
      </c>
      <c r="T544" s="58"/>
    </row>
    <row r="545" spans="2:20" x14ac:dyDescent="0.35">
      <c r="B545" s="45" t="str">
        <f>IF(J545="","",RANK($J545,$J$9:$J$620,0)+COUNTIF($J$9:J545,$J545)-1)</f>
        <v/>
      </c>
      <c r="C545" s="46"/>
      <c r="D545" s="46"/>
      <c r="E545" s="46"/>
      <c r="F545" s="47"/>
      <c r="G545" s="48"/>
      <c r="H545" s="46"/>
      <c r="I545" s="49"/>
      <c r="J545" s="50"/>
      <c r="K545" s="51"/>
      <c r="L545" s="52">
        <f t="shared" si="79"/>
        <v>31</v>
      </c>
      <c r="M545" s="52">
        <f t="shared" si="79"/>
        <v>31</v>
      </c>
      <c r="N545" s="53"/>
      <c r="O545" s="170"/>
      <c r="P545" s="55"/>
      <c r="Q545" s="171"/>
      <c r="R545" s="56" t="str">
        <f t="shared" si="77"/>
        <v/>
      </c>
      <c r="S545" s="57" t="str">
        <f t="shared" si="78"/>
        <v/>
      </c>
      <c r="T545" s="58"/>
    </row>
    <row r="546" spans="2:20" x14ac:dyDescent="0.35">
      <c r="B546" s="45" t="str">
        <f>IF(J546="","",RANK($J546,$J$9:$J$620,0)+COUNTIF($J$9:J546,$J546)-1)</f>
        <v/>
      </c>
      <c r="C546" s="46"/>
      <c r="D546" s="46"/>
      <c r="E546" s="46"/>
      <c r="F546" s="47"/>
      <c r="G546" s="48"/>
      <c r="H546" s="46"/>
      <c r="I546" s="49"/>
      <c r="J546" s="50"/>
      <c r="K546" s="51"/>
      <c r="L546" s="52">
        <f t="shared" si="79"/>
        <v>31</v>
      </c>
      <c r="M546" s="52">
        <f t="shared" si="79"/>
        <v>31</v>
      </c>
      <c r="N546" s="53"/>
      <c r="O546" s="170"/>
      <c r="P546" s="55"/>
      <c r="Q546" s="171"/>
      <c r="R546" s="56" t="str">
        <f t="shared" si="77"/>
        <v/>
      </c>
      <c r="S546" s="57" t="str">
        <f t="shared" si="78"/>
        <v/>
      </c>
      <c r="T546" s="58"/>
    </row>
    <row r="547" spans="2:20" x14ac:dyDescent="0.35">
      <c r="B547" s="45" t="str">
        <f>IF(J547="","",RANK($J547,$J$9:$J$620,0)+COUNTIF($J$9:J547,$J547)-1)</f>
        <v/>
      </c>
      <c r="C547" s="46"/>
      <c r="D547" s="46"/>
      <c r="E547" s="46"/>
      <c r="F547" s="47"/>
      <c r="G547" s="48"/>
      <c r="H547" s="46"/>
      <c r="I547" s="49"/>
      <c r="J547" s="50"/>
      <c r="K547" s="51"/>
      <c r="L547" s="52">
        <f t="shared" si="79"/>
        <v>31</v>
      </c>
      <c r="M547" s="52">
        <f t="shared" si="79"/>
        <v>31</v>
      </c>
      <c r="N547" s="53"/>
      <c r="O547" s="170"/>
      <c r="P547" s="55"/>
      <c r="Q547" s="171"/>
      <c r="R547" s="56" t="str">
        <f t="shared" si="77"/>
        <v/>
      </c>
      <c r="S547" s="57" t="str">
        <f t="shared" si="78"/>
        <v/>
      </c>
      <c r="T547" s="58"/>
    </row>
    <row r="548" spans="2:20" x14ac:dyDescent="0.35">
      <c r="B548" s="45" t="str">
        <f>IF(J548="","",RANK($J548,$J$9:$J$620,0)+COUNTIF($J$9:J548,$J548)-1)</f>
        <v/>
      </c>
      <c r="C548" s="46"/>
      <c r="D548" s="46"/>
      <c r="E548" s="46"/>
      <c r="F548" s="47"/>
      <c r="G548" s="48"/>
      <c r="H548" s="46"/>
      <c r="I548" s="49"/>
      <c r="J548" s="50"/>
      <c r="K548" s="51"/>
      <c r="L548" s="52">
        <f t="shared" si="79"/>
        <v>31</v>
      </c>
      <c r="M548" s="52">
        <f t="shared" si="79"/>
        <v>31</v>
      </c>
      <c r="N548" s="53"/>
      <c r="O548" s="170"/>
      <c r="P548" s="55"/>
      <c r="Q548" s="171"/>
      <c r="R548" s="56" t="str">
        <f t="shared" si="77"/>
        <v/>
      </c>
      <c r="S548" s="57" t="str">
        <f t="shared" si="78"/>
        <v/>
      </c>
      <c r="T548" s="58"/>
    </row>
    <row r="549" spans="2:20" x14ac:dyDescent="0.35">
      <c r="B549" s="45" t="str">
        <f>IF(J549="","",RANK($J549,$J$9:$J$620,0)+COUNTIF($J$9:J549,$J549)-1)</f>
        <v/>
      </c>
      <c r="C549" s="46"/>
      <c r="D549" s="46"/>
      <c r="E549" s="46"/>
      <c r="F549" s="47"/>
      <c r="G549" s="48"/>
      <c r="H549" s="46"/>
      <c r="I549" s="49"/>
      <c r="J549" s="50"/>
      <c r="K549" s="51"/>
      <c r="L549" s="52">
        <f t="shared" si="79"/>
        <v>31</v>
      </c>
      <c r="M549" s="52">
        <f t="shared" si="79"/>
        <v>31</v>
      </c>
      <c r="N549" s="53"/>
      <c r="O549" s="170"/>
      <c r="P549" s="55"/>
      <c r="Q549" s="171"/>
      <c r="R549" s="56" t="str">
        <f t="shared" si="77"/>
        <v/>
      </c>
      <c r="S549" s="57" t="str">
        <f t="shared" si="78"/>
        <v/>
      </c>
      <c r="T549" s="58"/>
    </row>
    <row r="550" spans="2:20" x14ac:dyDescent="0.35">
      <c r="B550" s="45" t="str">
        <f>IF(J550="","",RANK($J550,$J$9:$J$620,0)+COUNTIF($J$9:J550,$J550)-1)</f>
        <v/>
      </c>
      <c r="C550" s="46"/>
      <c r="D550" s="46"/>
      <c r="E550" s="46"/>
      <c r="F550" s="47"/>
      <c r="G550" s="48"/>
      <c r="H550" s="46"/>
      <c r="I550" s="49"/>
      <c r="J550" s="50"/>
      <c r="K550" s="51"/>
      <c r="L550" s="52">
        <f t="shared" si="79"/>
        <v>31</v>
      </c>
      <c r="M550" s="52">
        <f t="shared" si="79"/>
        <v>31</v>
      </c>
      <c r="N550" s="53"/>
      <c r="O550" s="170"/>
      <c r="P550" s="55"/>
      <c r="Q550" s="171"/>
      <c r="R550" s="56" t="str">
        <f t="shared" si="77"/>
        <v/>
      </c>
      <c r="S550" s="57" t="str">
        <f t="shared" si="78"/>
        <v/>
      </c>
      <c r="T550" s="58"/>
    </row>
    <row r="551" spans="2:20" x14ac:dyDescent="0.35">
      <c r="B551" s="45" t="str">
        <f>IF(J551="","",RANK($J551,$J$9:$J$620,0)+COUNTIF($J$9:J551,$J551)-1)</f>
        <v/>
      </c>
      <c r="C551" s="46"/>
      <c r="D551" s="46"/>
      <c r="E551" s="46"/>
      <c r="F551" s="47"/>
      <c r="G551" s="48"/>
      <c r="H551" s="46"/>
      <c r="I551" s="49"/>
      <c r="J551" s="50"/>
      <c r="K551" s="51"/>
      <c r="L551" s="52">
        <f t="shared" si="79"/>
        <v>31</v>
      </c>
      <c r="M551" s="52">
        <f t="shared" si="79"/>
        <v>31</v>
      </c>
      <c r="N551" s="53"/>
      <c r="O551" s="170"/>
      <c r="P551" s="55"/>
      <c r="Q551" s="171"/>
      <c r="R551" s="56" t="str">
        <f t="shared" si="77"/>
        <v/>
      </c>
      <c r="S551" s="57" t="str">
        <f t="shared" si="78"/>
        <v/>
      </c>
      <c r="T551" s="58"/>
    </row>
    <row r="552" spans="2:20" x14ac:dyDescent="0.35">
      <c r="B552" s="45" t="str">
        <f>IF(J552="","",RANK($J552,$J$9:$J$620,0)+COUNTIF($J$9:J552,$J552)-1)</f>
        <v/>
      </c>
      <c r="C552" s="46"/>
      <c r="D552" s="46"/>
      <c r="E552" s="46"/>
      <c r="F552" s="47"/>
      <c r="G552" s="48"/>
      <c r="H552" s="46"/>
      <c r="I552" s="49"/>
      <c r="J552" s="50"/>
      <c r="K552" s="51"/>
      <c r="L552" s="52">
        <f t="shared" si="79"/>
        <v>31</v>
      </c>
      <c r="M552" s="52">
        <f t="shared" si="79"/>
        <v>31</v>
      </c>
      <c r="N552" s="53"/>
      <c r="O552" s="170"/>
      <c r="P552" s="55"/>
      <c r="Q552" s="171"/>
      <c r="R552" s="56" t="str">
        <f t="shared" si="77"/>
        <v/>
      </c>
      <c r="S552" s="57" t="str">
        <f t="shared" si="78"/>
        <v/>
      </c>
      <c r="T552" s="58"/>
    </row>
    <row r="553" spans="2:20" x14ac:dyDescent="0.35">
      <c r="B553" s="45" t="str">
        <f>IF(J553="","",RANK($J553,$J$9:$J$620,0)+COUNTIF($J$9:J553,$J553)-1)</f>
        <v/>
      </c>
      <c r="C553" s="46"/>
      <c r="D553" s="46"/>
      <c r="E553" s="46"/>
      <c r="F553" s="47"/>
      <c r="G553" s="48"/>
      <c r="H553" s="46"/>
      <c r="I553" s="49"/>
      <c r="J553" s="50"/>
      <c r="K553" s="51"/>
      <c r="L553" s="52">
        <f t="shared" si="79"/>
        <v>31</v>
      </c>
      <c r="M553" s="52">
        <f t="shared" si="79"/>
        <v>31</v>
      </c>
      <c r="N553" s="53"/>
      <c r="O553" s="170"/>
      <c r="P553" s="55"/>
      <c r="Q553" s="171"/>
      <c r="R553" s="56" t="str">
        <f t="shared" si="77"/>
        <v/>
      </c>
      <c r="S553" s="57" t="str">
        <f t="shared" si="78"/>
        <v/>
      </c>
      <c r="T553" s="58"/>
    </row>
    <row r="554" spans="2:20" x14ac:dyDescent="0.35">
      <c r="B554" s="45" t="str">
        <f>IF(J554="","",RANK($J554,$J$9:$J$620,0)+COUNTIF($J$9:J554,$J554)-1)</f>
        <v/>
      </c>
      <c r="C554" s="46"/>
      <c r="D554" s="46"/>
      <c r="E554" s="46"/>
      <c r="F554" s="47"/>
      <c r="G554" s="48"/>
      <c r="H554" s="46"/>
      <c r="I554" s="49"/>
      <c r="J554" s="50"/>
      <c r="K554" s="51"/>
      <c r="L554" s="52">
        <f t="shared" si="79"/>
        <v>31</v>
      </c>
      <c r="M554" s="52">
        <f t="shared" si="79"/>
        <v>31</v>
      </c>
      <c r="N554" s="53"/>
      <c r="O554" s="170"/>
      <c r="P554" s="55"/>
      <c r="Q554" s="171"/>
      <c r="R554" s="56" t="str">
        <f t="shared" si="77"/>
        <v/>
      </c>
      <c r="S554" s="57" t="str">
        <f t="shared" si="78"/>
        <v/>
      </c>
      <c r="T554" s="58"/>
    </row>
    <row r="555" spans="2:20" x14ac:dyDescent="0.35">
      <c r="B555" s="45" t="str">
        <f>IF(J555="","",RANK($J555,$J$9:$J$620,0)+COUNTIF($J$9:J555,$J555)-1)</f>
        <v/>
      </c>
      <c r="C555" s="46"/>
      <c r="D555" s="46"/>
      <c r="E555" s="46"/>
      <c r="F555" s="47"/>
      <c r="G555" s="48"/>
      <c r="H555" s="46"/>
      <c r="I555" s="49"/>
      <c r="J555" s="50"/>
      <c r="K555" s="51"/>
      <c r="L555" s="52">
        <f t="shared" si="79"/>
        <v>31</v>
      </c>
      <c r="M555" s="52">
        <f t="shared" si="79"/>
        <v>31</v>
      </c>
      <c r="N555" s="53"/>
      <c r="O555" s="170"/>
      <c r="P555" s="55"/>
      <c r="Q555" s="171"/>
      <c r="R555" s="56" t="str">
        <f t="shared" si="77"/>
        <v/>
      </c>
      <c r="S555" s="57" t="str">
        <f t="shared" si="78"/>
        <v/>
      </c>
      <c r="T555" s="58"/>
    </row>
    <row r="556" spans="2:20" x14ac:dyDescent="0.35">
      <c r="B556" s="45" t="str">
        <f>IF(J556="","",RANK($J556,$J$9:$J$620,0)+COUNTIF($J$9:J556,$J556)-1)</f>
        <v/>
      </c>
      <c r="C556" s="46"/>
      <c r="D556" s="46"/>
      <c r="E556" s="46"/>
      <c r="F556" s="47"/>
      <c r="G556" s="48"/>
      <c r="H556" s="46"/>
      <c r="I556" s="49"/>
      <c r="J556" s="50"/>
      <c r="K556" s="51"/>
      <c r="L556" s="52">
        <f t="shared" si="79"/>
        <v>31</v>
      </c>
      <c r="M556" s="52">
        <f t="shared" si="79"/>
        <v>31</v>
      </c>
      <c r="N556" s="53"/>
      <c r="O556" s="170"/>
      <c r="P556" s="55"/>
      <c r="Q556" s="171"/>
      <c r="R556" s="56" t="str">
        <f t="shared" si="77"/>
        <v/>
      </c>
      <c r="S556" s="57" t="str">
        <f t="shared" si="78"/>
        <v/>
      </c>
      <c r="T556" s="58"/>
    </row>
    <row r="557" spans="2:20" x14ac:dyDescent="0.35">
      <c r="B557" s="45" t="str">
        <f>IF(J557="","",RANK($J557,$J$9:$J$620,0)+COUNTIF($J$9:J557,$J557)-1)</f>
        <v/>
      </c>
      <c r="C557" s="46"/>
      <c r="D557" s="46"/>
      <c r="E557" s="46"/>
      <c r="F557" s="47"/>
      <c r="G557" s="48"/>
      <c r="H557" s="46"/>
      <c r="I557" s="49"/>
      <c r="J557" s="50"/>
      <c r="K557" s="51"/>
      <c r="L557" s="52">
        <f t="shared" si="79"/>
        <v>31</v>
      </c>
      <c r="M557" s="52">
        <f t="shared" si="79"/>
        <v>31</v>
      </c>
      <c r="N557" s="53"/>
      <c r="O557" s="170"/>
      <c r="P557" s="55"/>
      <c r="Q557" s="171"/>
      <c r="R557" s="56" t="str">
        <f t="shared" si="77"/>
        <v/>
      </c>
      <c r="S557" s="57" t="str">
        <f t="shared" si="78"/>
        <v/>
      </c>
      <c r="T557" s="58"/>
    </row>
    <row r="558" spans="2:20" x14ac:dyDescent="0.35">
      <c r="B558" s="45" t="str">
        <f>IF(J558="","",RANK($J558,$J$9:$J$620,0)+COUNTIF($J$9:J558,$J558)-1)</f>
        <v/>
      </c>
      <c r="C558" s="46"/>
      <c r="D558" s="46"/>
      <c r="E558" s="46"/>
      <c r="F558" s="47"/>
      <c r="G558" s="48"/>
      <c r="H558" s="46"/>
      <c r="I558" s="49"/>
      <c r="J558" s="50"/>
      <c r="K558" s="51"/>
      <c r="L558" s="52">
        <f t="shared" si="79"/>
        <v>31</v>
      </c>
      <c r="M558" s="52">
        <f t="shared" si="79"/>
        <v>31</v>
      </c>
      <c r="N558" s="53"/>
      <c r="O558" s="170"/>
      <c r="P558" s="55"/>
      <c r="Q558" s="171"/>
      <c r="R558" s="56" t="str">
        <f t="shared" si="77"/>
        <v/>
      </c>
      <c r="S558" s="57" t="str">
        <f t="shared" si="78"/>
        <v/>
      </c>
      <c r="T558" s="58"/>
    </row>
    <row r="559" spans="2:20" x14ac:dyDescent="0.35">
      <c r="B559" s="45" t="str">
        <f>IF(J559="","",RANK($J559,$J$9:$J$620,0)+COUNTIF($J$9:J559,$J559)-1)</f>
        <v/>
      </c>
      <c r="C559" s="46"/>
      <c r="D559" s="46"/>
      <c r="E559" s="46"/>
      <c r="F559" s="47"/>
      <c r="G559" s="48"/>
      <c r="H559" s="46"/>
      <c r="I559" s="49"/>
      <c r="J559" s="50"/>
      <c r="K559" s="51"/>
      <c r="L559" s="52">
        <f t="shared" si="79"/>
        <v>31</v>
      </c>
      <c r="M559" s="52">
        <f t="shared" si="79"/>
        <v>31</v>
      </c>
      <c r="N559" s="53"/>
      <c r="O559" s="170"/>
      <c r="P559" s="55"/>
      <c r="Q559" s="171"/>
      <c r="R559" s="56" t="str">
        <f t="shared" si="77"/>
        <v/>
      </c>
      <c r="S559" s="57" t="str">
        <f t="shared" si="78"/>
        <v/>
      </c>
      <c r="T559" s="58"/>
    </row>
    <row r="560" spans="2:20" x14ac:dyDescent="0.35">
      <c r="B560" s="45" t="str">
        <f>IF(J560="","",RANK($J560,$J$9:$J$620,0)+COUNTIF($J$9:J560,$J560)-1)</f>
        <v/>
      </c>
      <c r="C560" s="46"/>
      <c r="D560" s="46"/>
      <c r="E560" s="46"/>
      <c r="F560" s="47"/>
      <c r="G560" s="48"/>
      <c r="H560" s="46"/>
      <c r="I560" s="49"/>
      <c r="J560" s="50"/>
      <c r="K560" s="51"/>
      <c r="L560" s="52">
        <f t="shared" si="79"/>
        <v>31</v>
      </c>
      <c r="M560" s="52">
        <f t="shared" si="79"/>
        <v>31</v>
      </c>
      <c r="N560" s="53"/>
      <c r="O560" s="170"/>
      <c r="P560" s="55"/>
      <c r="Q560" s="171"/>
      <c r="R560" s="56" t="str">
        <f t="shared" si="77"/>
        <v/>
      </c>
      <c r="S560" s="57" t="str">
        <f t="shared" si="78"/>
        <v/>
      </c>
      <c r="T560" s="58"/>
    </row>
    <row r="561" spans="2:20" x14ac:dyDescent="0.35">
      <c r="B561" s="45" t="str">
        <f>IF(J561="","",RANK($J561,$J$9:$J$620,0)+COUNTIF($J$9:J561,$J561)-1)</f>
        <v/>
      </c>
      <c r="C561" s="46"/>
      <c r="D561" s="46"/>
      <c r="E561" s="46"/>
      <c r="F561" s="47"/>
      <c r="G561" s="48"/>
      <c r="H561" s="46"/>
      <c r="I561" s="49"/>
      <c r="J561" s="50"/>
      <c r="K561" s="51"/>
      <c r="L561" s="52">
        <f t="shared" si="79"/>
        <v>31</v>
      </c>
      <c r="M561" s="52">
        <f t="shared" si="79"/>
        <v>31</v>
      </c>
      <c r="N561" s="53"/>
      <c r="O561" s="170"/>
      <c r="P561" s="55"/>
      <c r="Q561" s="171"/>
      <c r="R561" s="56" t="str">
        <f t="shared" si="77"/>
        <v/>
      </c>
      <c r="S561" s="57" t="str">
        <f t="shared" si="78"/>
        <v/>
      </c>
      <c r="T561" s="58"/>
    </row>
    <row r="562" spans="2:20" x14ac:dyDescent="0.35">
      <c r="B562" s="45" t="str">
        <f>IF(J562="","",RANK($J562,$J$9:$J$620,0)+COUNTIF($J$9:J562,$J562)-1)</f>
        <v/>
      </c>
      <c r="C562" s="46"/>
      <c r="D562" s="46"/>
      <c r="E562" s="46"/>
      <c r="F562" s="47"/>
      <c r="G562" s="48"/>
      <c r="H562" s="46"/>
      <c r="I562" s="49"/>
      <c r="J562" s="50"/>
      <c r="K562" s="51"/>
      <c r="L562" s="52">
        <f t="shared" si="79"/>
        <v>31</v>
      </c>
      <c r="M562" s="52">
        <f t="shared" si="79"/>
        <v>31</v>
      </c>
      <c r="N562" s="53"/>
      <c r="O562" s="170"/>
      <c r="P562" s="55"/>
      <c r="Q562" s="171"/>
      <c r="R562" s="56" t="str">
        <f t="shared" si="77"/>
        <v/>
      </c>
      <c r="S562" s="57" t="str">
        <f t="shared" si="78"/>
        <v/>
      </c>
      <c r="T562" s="58"/>
    </row>
    <row r="563" spans="2:20" x14ac:dyDescent="0.35">
      <c r="B563" s="45" t="str">
        <f>IF(J563="","",RANK($J563,$J$9:$J$620,0)+COUNTIF($J$9:J563,$J563)-1)</f>
        <v/>
      </c>
      <c r="C563" s="46"/>
      <c r="D563" s="46"/>
      <c r="E563" s="46"/>
      <c r="F563" s="47"/>
      <c r="G563" s="48"/>
      <c r="H563" s="46"/>
      <c r="I563" s="49"/>
      <c r="J563" s="50"/>
      <c r="K563" s="51"/>
      <c r="L563" s="52">
        <f t="shared" si="79"/>
        <v>31</v>
      </c>
      <c r="M563" s="52">
        <f t="shared" si="79"/>
        <v>31</v>
      </c>
      <c r="N563" s="53"/>
      <c r="O563" s="170"/>
      <c r="P563" s="55"/>
      <c r="Q563" s="171"/>
      <c r="R563" s="56" t="str">
        <f t="shared" si="77"/>
        <v/>
      </c>
      <c r="S563" s="57" t="str">
        <f t="shared" si="78"/>
        <v/>
      </c>
      <c r="T563" s="58"/>
    </row>
    <row r="564" spans="2:20" x14ac:dyDescent="0.35">
      <c r="B564" s="45" t="str">
        <f>IF(J564="","",RANK($J564,$J$9:$J$620,0)+COUNTIF($J$9:J564,$J564)-1)</f>
        <v/>
      </c>
      <c r="C564" s="46"/>
      <c r="D564" s="46"/>
      <c r="E564" s="46"/>
      <c r="F564" s="47"/>
      <c r="G564" s="48"/>
      <c r="H564" s="46"/>
      <c r="I564" s="49"/>
      <c r="J564" s="50"/>
      <c r="K564" s="51"/>
      <c r="L564" s="52">
        <f t="shared" si="79"/>
        <v>31</v>
      </c>
      <c r="M564" s="52">
        <f t="shared" si="79"/>
        <v>31</v>
      </c>
      <c r="N564" s="53"/>
      <c r="O564" s="170"/>
      <c r="P564" s="55"/>
      <c r="Q564" s="171"/>
      <c r="R564" s="56" t="str">
        <f t="shared" si="77"/>
        <v/>
      </c>
      <c r="S564" s="57" t="str">
        <f t="shared" si="78"/>
        <v/>
      </c>
      <c r="T564" s="58"/>
    </row>
    <row r="565" spans="2:20" x14ac:dyDescent="0.35">
      <c r="B565" s="45" t="str">
        <f>IF(J565="","",RANK($J565,$J$9:$J$620,0)+COUNTIF($J$9:J565,$J565)-1)</f>
        <v/>
      </c>
      <c r="C565" s="46"/>
      <c r="D565" s="46"/>
      <c r="E565" s="46"/>
      <c r="F565" s="47"/>
      <c r="G565" s="48"/>
      <c r="H565" s="46"/>
      <c r="I565" s="49"/>
      <c r="J565" s="50"/>
      <c r="K565" s="51"/>
      <c r="L565" s="52">
        <f t="shared" si="79"/>
        <v>31</v>
      </c>
      <c r="M565" s="52">
        <f t="shared" si="79"/>
        <v>31</v>
      </c>
      <c r="N565" s="53"/>
      <c r="O565" s="170"/>
      <c r="P565" s="55"/>
      <c r="Q565" s="171"/>
      <c r="R565" s="56" t="str">
        <f t="shared" si="77"/>
        <v/>
      </c>
      <c r="S565" s="57" t="str">
        <f t="shared" si="78"/>
        <v/>
      </c>
      <c r="T565" s="58"/>
    </row>
    <row r="566" spans="2:20" x14ac:dyDescent="0.35">
      <c r="B566" s="45" t="str">
        <f>IF(J566="","",RANK($J566,$J$9:$J$620,0)+COUNTIF($J$9:J566,$J566)-1)</f>
        <v/>
      </c>
      <c r="C566" s="46"/>
      <c r="D566" s="46"/>
      <c r="E566" s="46"/>
      <c r="F566" s="47"/>
      <c r="G566" s="48"/>
      <c r="H566" s="46"/>
      <c r="I566" s="49"/>
      <c r="J566" s="50"/>
      <c r="K566" s="51"/>
      <c r="L566" s="52">
        <f t="shared" si="79"/>
        <v>31</v>
      </c>
      <c r="M566" s="52">
        <f t="shared" si="79"/>
        <v>31</v>
      </c>
      <c r="N566" s="53"/>
      <c r="O566" s="170"/>
      <c r="P566" s="55"/>
      <c r="Q566" s="171"/>
      <c r="R566" s="56" t="str">
        <f t="shared" si="77"/>
        <v/>
      </c>
      <c r="S566" s="57" t="str">
        <f t="shared" si="78"/>
        <v/>
      </c>
      <c r="T566" s="58"/>
    </row>
    <row r="567" spans="2:20" x14ac:dyDescent="0.35">
      <c r="B567" s="45" t="str">
        <f>IF(J567="","",RANK($J567,$J$9:$J$620,0)+COUNTIF($J$9:J567,$J567)-1)</f>
        <v/>
      </c>
      <c r="C567" s="46"/>
      <c r="D567" s="46"/>
      <c r="E567" s="46"/>
      <c r="F567" s="47"/>
      <c r="G567" s="48"/>
      <c r="H567" s="46"/>
      <c r="I567" s="49"/>
      <c r="J567" s="50"/>
      <c r="K567" s="51"/>
      <c r="L567" s="52">
        <f t="shared" si="79"/>
        <v>31</v>
      </c>
      <c r="M567" s="52">
        <f t="shared" si="79"/>
        <v>31</v>
      </c>
      <c r="N567" s="53"/>
      <c r="O567" s="170"/>
      <c r="P567" s="55"/>
      <c r="Q567" s="171"/>
      <c r="R567" s="56" t="str">
        <f t="shared" si="77"/>
        <v/>
      </c>
      <c r="S567" s="57" t="str">
        <f t="shared" si="78"/>
        <v/>
      </c>
      <c r="T567" s="58"/>
    </row>
    <row r="568" spans="2:20" x14ac:dyDescent="0.35">
      <c r="B568" s="45" t="str">
        <f>IF(J568="","",RANK($J568,$J$9:$J$620,0)+COUNTIF($J$9:J568,$J568)-1)</f>
        <v/>
      </c>
      <c r="C568" s="46"/>
      <c r="D568" s="46"/>
      <c r="E568" s="46"/>
      <c r="F568" s="47"/>
      <c r="G568" s="48"/>
      <c r="H568" s="46"/>
      <c r="I568" s="49"/>
      <c r="J568" s="50"/>
      <c r="K568" s="51"/>
      <c r="L568" s="52">
        <f t="shared" si="79"/>
        <v>31</v>
      </c>
      <c r="M568" s="52">
        <f t="shared" si="79"/>
        <v>31</v>
      </c>
      <c r="N568" s="53"/>
      <c r="O568" s="170"/>
      <c r="P568" s="55"/>
      <c r="Q568" s="171"/>
      <c r="R568" s="56" t="str">
        <f t="shared" si="77"/>
        <v/>
      </c>
      <c r="S568" s="57" t="str">
        <f t="shared" si="78"/>
        <v/>
      </c>
      <c r="T568" s="58"/>
    </row>
    <row r="569" spans="2:20" x14ac:dyDescent="0.35">
      <c r="B569" s="45" t="str">
        <f>IF(J569="","",RANK($J569,$J$9:$J$620,0)+COUNTIF($J$9:J569,$J569)-1)</f>
        <v/>
      </c>
      <c r="C569" s="46"/>
      <c r="D569" s="46"/>
      <c r="E569" s="46"/>
      <c r="F569" s="47"/>
      <c r="G569" s="48"/>
      <c r="H569" s="46"/>
      <c r="I569" s="49"/>
      <c r="J569" s="50"/>
      <c r="K569" s="51"/>
      <c r="L569" s="52">
        <f t="shared" si="79"/>
        <v>31</v>
      </c>
      <c r="M569" s="52">
        <f t="shared" si="79"/>
        <v>31</v>
      </c>
      <c r="N569" s="53"/>
      <c r="O569" s="170"/>
      <c r="P569" s="55"/>
      <c r="Q569" s="171"/>
      <c r="R569" s="56" t="str">
        <f t="shared" si="77"/>
        <v/>
      </c>
      <c r="S569" s="57" t="str">
        <f t="shared" si="78"/>
        <v/>
      </c>
      <c r="T569" s="58"/>
    </row>
    <row r="570" spans="2:20" x14ac:dyDescent="0.35">
      <c r="B570" s="45" t="str">
        <f>IF(J570="","",RANK($J570,$J$9:$J$620,0)+COUNTIF($J$9:J570,$J570)-1)</f>
        <v/>
      </c>
      <c r="C570" s="46"/>
      <c r="D570" s="46"/>
      <c r="E570" s="46"/>
      <c r="F570" s="47"/>
      <c r="G570" s="48"/>
      <c r="H570" s="46"/>
      <c r="I570" s="49"/>
      <c r="J570" s="50"/>
      <c r="K570" s="51"/>
      <c r="L570" s="52">
        <f t="shared" si="79"/>
        <v>31</v>
      </c>
      <c r="M570" s="52">
        <f t="shared" si="79"/>
        <v>31</v>
      </c>
      <c r="N570" s="53"/>
      <c r="O570" s="170"/>
      <c r="P570" s="55"/>
      <c r="Q570" s="171"/>
      <c r="R570" s="56" t="str">
        <f t="shared" si="77"/>
        <v/>
      </c>
      <c r="S570" s="57" t="str">
        <f t="shared" si="78"/>
        <v/>
      </c>
      <c r="T570" s="58"/>
    </row>
    <row r="571" spans="2:20" x14ac:dyDescent="0.35">
      <c r="B571" s="45" t="str">
        <f>IF(J571="","",RANK($J571,$J$9:$J$620,0)+COUNTIF($J$9:J571,$J571)-1)</f>
        <v/>
      </c>
      <c r="C571" s="46"/>
      <c r="D571" s="46"/>
      <c r="E571" s="46"/>
      <c r="F571" s="47"/>
      <c r="G571" s="48"/>
      <c r="H571" s="46"/>
      <c r="I571" s="49"/>
      <c r="J571" s="50"/>
      <c r="K571" s="51"/>
      <c r="L571" s="52">
        <f t="shared" si="79"/>
        <v>31</v>
      </c>
      <c r="M571" s="52">
        <f t="shared" si="79"/>
        <v>31</v>
      </c>
      <c r="N571" s="53"/>
      <c r="O571" s="170"/>
      <c r="P571" s="55"/>
      <c r="Q571" s="171"/>
      <c r="R571" s="56" t="str">
        <f t="shared" si="77"/>
        <v/>
      </c>
      <c r="S571" s="57" t="str">
        <f t="shared" si="78"/>
        <v/>
      </c>
      <c r="T571" s="58"/>
    </row>
    <row r="572" spans="2:20" x14ac:dyDescent="0.35">
      <c r="B572" s="45" t="str">
        <f>IF(J572="","",RANK($J572,$J$9:$J$620,0)+COUNTIF($J$9:J572,$J572)-1)</f>
        <v/>
      </c>
      <c r="C572" s="46"/>
      <c r="D572" s="46"/>
      <c r="E572" s="46"/>
      <c r="F572" s="47"/>
      <c r="G572" s="48"/>
      <c r="H572" s="46"/>
      <c r="I572" s="49"/>
      <c r="J572" s="50"/>
      <c r="K572" s="51"/>
      <c r="L572" s="52">
        <f t="shared" si="79"/>
        <v>31</v>
      </c>
      <c r="M572" s="52">
        <f t="shared" si="79"/>
        <v>31</v>
      </c>
      <c r="N572" s="53"/>
      <c r="O572" s="170"/>
      <c r="P572" s="55"/>
      <c r="Q572" s="171"/>
      <c r="R572" s="56" t="str">
        <f t="shared" si="77"/>
        <v/>
      </c>
      <c r="S572" s="57" t="str">
        <f t="shared" si="78"/>
        <v/>
      </c>
      <c r="T572" s="58"/>
    </row>
    <row r="573" spans="2:20" x14ac:dyDescent="0.35">
      <c r="B573" s="45" t="str">
        <f>IF(J573="","",RANK($J573,$J$9:$J$620,0)+COUNTIF($J$9:J573,$J573)-1)</f>
        <v/>
      </c>
      <c r="C573" s="46"/>
      <c r="D573" s="46"/>
      <c r="E573" s="46"/>
      <c r="F573" s="47"/>
      <c r="G573" s="48"/>
      <c r="H573" s="46"/>
      <c r="I573" s="49"/>
      <c r="J573" s="50"/>
      <c r="K573" s="51"/>
      <c r="L573" s="52">
        <f t="shared" si="79"/>
        <v>31</v>
      </c>
      <c r="M573" s="52">
        <f t="shared" si="79"/>
        <v>31</v>
      </c>
      <c r="N573" s="53"/>
      <c r="O573" s="170"/>
      <c r="P573" s="55"/>
      <c r="Q573" s="171"/>
      <c r="R573" s="56" t="str">
        <f t="shared" si="77"/>
        <v/>
      </c>
      <c r="S573" s="57" t="str">
        <f t="shared" si="78"/>
        <v/>
      </c>
      <c r="T573" s="58"/>
    </row>
    <row r="574" spans="2:20" x14ac:dyDescent="0.35">
      <c r="B574" s="45" t="str">
        <f>IF(J574="","",RANK($J574,$J$9:$J$620,0)+COUNTIF($J$9:J574,$J574)-1)</f>
        <v/>
      </c>
      <c r="C574" s="46"/>
      <c r="D574" s="46"/>
      <c r="E574" s="46"/>
      <c r="F574" s="47"/>
      <c r="G574" s="48"/>
      <c r="H574" s="46"/>
      <c r="I574" s="49"/>
      <c r="J574" s="50"/>
      <c r="K574" s="51"/>
      <c r="L574" s="52">
        <f t="shared" si="79"/>
        <v>31</v>
      </c>
      <c r="M574" s="52">
        <f t="shared" si="79"/>
        <v>31</v>
      </c>
      <c r="N574" s="53"/>
      <c r="O574" s="170"/>
      <c r="P574" s="55"/>
      <c r="Q574" s="171"/>
      <c r="R574" s="56" t="str">
        <f t="shared" si="77"/>
        <v/>
      </c>
      <c r="S574" s="57" t="str">
        <f t="shared" si="78"/>
        <v/>
      </c>
      <c r="T574" s="58"/>
    </row>
    <row r="575" spans="2:20" x14ac:dyDescent="0.35">
      <c r="B575" s="45" t="str">
        <f>IF(J575="","",RANK($J575,$J$9:$J$620,0)+COUNTIF($J$9:J575,$J575)-1)</f>
        <v/>
      </c>
      <c r="C575" s="46"/>
      <c r="D575" s="46"/>
      <c r="E575" s="46"/>
      <c r="F575" s="47"/>
      <c r="G575" s="48"/>
      <c r="H575" s="46"/>
      <c r="I575" s="49"/>
      <c r="J575" s="50"/>
      <c r="K575" s="51"/>
      <c r="L575" s="52">
        <f t="shared" si="79"/>
        <v>31</v>
      </c>
      <c r="M575" s="52">
        <f t="shared" si="79"/>
        <v>31</v>
      </c>
      <c r="N575" s="53"/>
      <c r="O575" s="170"/>
      <c r="P575" s="55"/>
      <c r="Q575" s="171"/>
      <c r="R575" s="56" t="str">
        <f t="shared" si="77"/>
        <v/>
      </c>
      <c r="S575" s="57" t="str">
        <f t="shared" si="78"/>
        <v/>
      </c>
      <c r="T575" s="58"/>
    </row>
    <row r="576" spans="2:20" x14ac:dyDescent="0.35">
      <c r="B576" s="45" t="str">
        <f>IF(J576="","",RANK($J576,$J$9:$J$620,0)+COUNTIF($J$9:J576,$J576)-1)</f>
        <v/>
      </c>
      <c r="C576" s="46"/>
      <c r="D576" s="46"/>
      <c r="E576" s="46"/>
      <c r="F576" s="47"/>
      <c r="G576" s="48"/>
      <c r="H576" s="46"/>
      <c r="I576" s="49"/>
      <c r="J576" s="50"/>
      <c r="K576" s="51"/>
      <c r="L576" s="52">
        <f t="shared" si="79"/>
        <v>31</v>
      </c>
      <c r="M576" s="52">
        <f t="shared" si="79"/>
        <v>31</v>
      </c>
      <c r="N576" s="53"/>
      <c r="O576" s="170"/>
      <c r="P576" s="55"/>
      <c r="Q576" s="171"/>
      <c r="R576" s="56" t="str">
        <f t="shared" si="77"/>
        <v/>
      </c>
      <c r="S576" s="57" t="str">
        <f t="shared" si="78"/>
        <v/>
      </c>
      <c r="T576" s="58"/>
    </row>
    <row r="577" spans="2:20" x14ac:dyDescent="0.35">
      <c r="B577" s="45" t="str">
        <f>IF(J577="","",RANK($J577,$J$9:$J$620,0)+COUNTIF($J$9:J577,$J577)-1)</f>
        <v/>
      </c>
      <c r="C577" s="46"/>
      <c r="D577" s="46"/>
      <c r="E577" s="46"/>
      <c r="F577" s="47"/>
      <c r="G577" s="48"/>
      <c r="H577" s="46"/>
      <c r="I577" s="49"/>
      <c r="J577" s="50"/>
      <c r="K577" s="51"/>
      <c r="L577" s="52">
        <f t="shared" si="79"/>
        <v>31</v>
      </c>
      <c r="M577" s="52">
        <f t="shared" si="79"/>
        <v>31</v>
      </c>
      <c r="N577" s="53"/>
      <c r="O577" s="170"/>
      <c r="P577" s="55"/>
      <c r="Q577" s="171"/>
      <c r="R577" s="56" t="str">
        <f t="shared" si="77"/>
        <v/>
      </c>
      <c r="S577" s="57" t="str">
        <f t="shared" si="78"/>
        <v/>
      </c>
      <c r="T577" s="58"/>
    </row>
    <row r="578" spans="2:20" x14ac:dyDescent="0.35">
      <c r="B578" s="45" t="str">
        <f>IF(J578="","",RANK($J578,$J$9:$J$620,0)+COUNTIF($J$9:J578,$J578)-1)</f>
        <v/>
      </c>
      <c r="C578" s="46"/>
      <c r="D578" s="46"/>
      <c r="E578" s="46"/>
      <c r="F578" s="47"/>
      <c r="G578" s="48"/>
      <c r="H578" s="46"/>
      <c r="I578" s="49"/>
      <c r="J578" s="50"/>
      <c r="K578" s="51"/>
      <c r="L578" s="52">
        <f t="shared" si="79"/>
        <v>31</v>
      </c>
      <c r="M578" s="52">
        <f t="shared" si="79"/>
        <v>31</v>
      </c>
      <c r="N578" s="53"/>
      <c r="O578" s="170"/>
      <c r="P578" s="55"/>
      <c r="Q578" s="171"/>
      <c r="R578" s="56" t="str">
        <f t="shared" si="77"/>
        <v/>
      </c>
      <c r="S578" s="57" t="str">
        <f t="shared" si="78"/>
        <v/>
      </c>
      <c r="T578" s="58"/>
    </row>
    <row r="579" spans="2:20" x14ac:dyDescent="0.35">
      <c r="B579" s="45" t="str">
        <f>IF(J579="","",RANK($J579,$J$9:$J$620,0)+COUNTIF($J$9:J579,$J579)-1)</f>
        <v/>
      </c>
      <c r="C579" s="46"/>
      <c r="D579" s="46"/>
      <c r="E579" s="46"/>
      <c r="F579" s="47"/>
      <c r="G579" s="48"/>
      <c r="H579" s="46"/>
      <c r="I579" s="49"/>
      <c r="J579" s="50"/>
      <c r="K579" s="51"/>
      <c r="L579" s="52">
        <f t="shared" si="79"/>
        <v>31</v>
      </c>
      <c r="M579" s="52">
        <f t="shared" si="79"/>
        <v>31</v>
      </c>
      <c r="N579" s="53"/>
      <c r="O579" s="170"/>
      <c r="P579" s="55"/>
      <c r="Q579" s="171"/>
      <c r="R579" s="56" t="str">
        <f t="shared" si="77"/>
        <v/>
      </c>
      <c r="S579" s="57" t="str">
        <f t="shared" si="78"/>
        <v/>
      </c>
      <c r="T579" s="58"/>
    </row>
    <row r="580" spans="2:20" x14ac:dyDescent="0.35">
      <c r="B580" s="45" t="str">
        <f>IF(J580="","",RANK($J580,$J$9:$J$620,0)+COUNTIF($J$9:J580,$J580)-1)</f>
        <v/>
      </c>
      <c r="C580" s="46"/>
      <c r="D580" s="46"/>
      <c r="E580" s="46"/>
      <c r="F580" s="47"/>
      <c r="G580" s="48"/>
      <c r="H580" s="46"/>
      <c r="I580" s="49"/>
      <c r="J580" s="50"/>
      <c r="K580" s="51"/>
      <c r="L580" s="52">
        <f t="shared" si="79"/>
        <v>31</v>
      </c>
      <c r="M580" s="52">
        <f t="shared" si="79"/>
        <v>31</v>
      </c>
      <c r="N580" s="53"/>
      <c r="O580" s="170"/>
      <c r="P580" s="55"/>
      <c r="Q580" s="171"/>
      <c r="R580" s="56" t="str">
        <f t="shared" si="77"/>
        <v/>
      </c>
      <c r="S580" s="57" t="str">
        <f t="shared" si="78"/>
        <v/>
      </c>
      <c r="T580" s="58"/>
    </row>
    <row r="581" spans="2:20" x14ac:dyDescent="0.35">
      <c r="B581" s="45" t="str">
        <f>IF(J581="","",RANK($J581,$J$9:$J$620,0)+COUNTIF($J$9:J581,$J581)-1)</f>
        <v/>
      </c>
      <c r="C581" s="46"/>
      <c r="D581" s="46"/>
      <c r="E581" s="46"/>
      <c r="F581" s="47"/>
      <c r="G581" s="48"/>
      <c r="H581" s="46"/>
      <c r="I581" s="49"/>
      <c r="J581" s="50"/>
      <c r="K581" s="51"/>
      <c r="L581" s="52">
        <f t="shared" si="79"/>
        <v>31</v>
      </c>
      <c r="M581" s="52">
        <f t="shared" si="79"/>
        <v>31</v>
      </c>
      <c r="N581" s="53"/>
      <c r="O581" s="170"/>
      <c r="P581" s="55"/>
      <c r="Q581" s="171"/>
      <c r="R581" s="56" t="str">
        <f t="shared" si="77"/>
        <v/>
      </c>
      <c r="S581" s="57" t="str">
        <f t="shared" si="78"/>
        <v/>
      </c>
      <c r="T581" s="58"/>
    </row>
    <row r="582" spans="2:20" x14ac:dyDescent="0.35">
      <c r="B582" s="45" t="str">
        <f>IF(J582="","",RANK($J582,$J$9:$J$620,0)+COUNTIF($J$9:J582,$J582)-1)</f>
        <v/>
      </c>
      <c r="C582" s="46"/>
      <c r="D582" s="46"/>
      <c r="E582" s="46"/>
      <c r="F582" s="47"/>
      <c r="G582" s="48"/>
      <c r="H582" s="46"/>
      <c r="I582" s="49"/>
      <c r="J582" s="50"/>
      <c r="K582" s="51"/>
      <c r="L582" s="52">
        <f t="shared" si="79"/>
        <v>31</v>
      </c>
      <c r="M582" s="52">
        <f t="shared" si="79"/>
        <v>31</v>
      </c>
      <c r="N582" s="53"/>
      <c r="O582" s="170"/>
      <c r="P582" s="55"/>
      <c r="Q582" s="171"/>
      <c r="R582" s="56" t="str">
        <f t="shared" si="77"/>
        <v/>
      </c>
      <c r="S582" s="57" t="str">
        <f t="shared" si="78"/>
        <v/>
      </c>
      <c r="T582" s="58"/>
    </row>
    <row r="583" spans="2:20" x14ac:dyDescent="0.35">
      <c r="B583" s="45" t="str">
        <f>IF(J583="","",RANK($J583,$J$9:$J$620,0)+COUNTIF($J$9:J583,$J583)-1)</f>
        <v/>
      </c>
      <c r="C583" s="46"/>
      <c r="D583" s="46"/>
      <c r="E583" s="46"/>
      <c r="F583" s="47"/>
      <c r="G583" s="48"/>
      <c r="H583" s="46"/>
      <c r="I583" s="49"/>
      <c r="J583" s="50"/>
      <c r="K583" s="51"/>
      <c r="L583" s="52">
        <f t="shared" si="79"/>
        <v>31</v>
      </c>
      <c r="M583" s="52">
        <f t="shared" si="79"/>
        <v>31</v>
      </c>
      <c r="N583" s="53"/>
      <c r="O583" s="170"/>
      <c r="P583" s="55"/>
      <c r="Q583" s="171"/>
      <c r="R583" s="56" t="str">
        <f t="shared" si="77"/>
        <v/>
      </c>
      <c r="S583" s="57" t="str">
        <f t="shared" si="78"/>
        <v/>
      </c>
      <c r="T583" s="58"/>
    </row>
    <row r="584" spans="2:20" x14ac:dyDescent="0.35">
      <c r="B584" s="45" t="str">
        <f>IF(J584="","",RANK($J584,$J$9:$J$620,0)+COUNTIF($J$9:J584,$J584)-1)</f>
        <v/>
      </c>
      <c r="C584" s="46"/>
      <c r="D584" s="46"/>
      <c r="E584" s="46"/>
      <c r="F584" s="47"/>
      <c r="G584" s="48"/>
      <c r="H584" s="46"/>
      <c r="I584" s="49"/>
      <c r="J584" s="50"/>
      <c r="K584" s="51"/>
      <c r="L584" s="52">
        <f t="shared" si="79"/>
        <v>31</v>
      </c>
      <c r="M584" s="52">
        <f t="shared" si="79"/>
        <v>31</v>
      </c>
      <c r="N584" s="53"/>
      <c r="O584" s="170"/>
      <c r="P584" s="55"/>
      <c r="Q584" s="171"/>
      <c r="R584" s="56" t="str">
        <f t="shared" si="77"/>
        <v/>
      </c>
      <c r="S584" s="57" t="str">
        <f t="shared" si="78"/>
        <v/>
      </c>
      <c r="T584" s="58"/>
    </row>
    <row r="585" spans="2:20" x14ac:dyDescent="0.35">
      <c r="B585" s="45" t="str">
        <f>IF(J585="","",RANK($J585,$J$9:$J$620,0)+COUNTIF($J$9:J585,$J585)-1)</f>
        <v/>
      </c>
      <c r="C585" s="46"/>
      <c r="D585" s="46"/>
      <c r="E585" s="46"/>
      <c r="F585" s="47"/>
      <c r="G585" s="48"/>
      <c r="H585" s="46"/>
      <c r="I585" s="49"/>
      <c r="J585" s="50"/>
      <c r="K585" s="51"/>
      <c r="L585" s="52">
        <f t="shared" si="79"/>
        <v>31</v>
      </c>
      <c r="M585" s="52">
        <f t="shared" si="79"/>
        <v>31</v>
      </c>
      <c r="N585" s="53"/>
      <c r="O585" s="170"/>
      <c r="P585" s="55"/>
      <c r="Q585" s="171"/>
      <c r="R585" s="56" t="str">
        <f t="shared" si="77"/>
        <v/>
      </c>
      <c r="S585" s="57" t="str">
        <f t="shared" si="78"/>
        <v/>
      </c>
      <c r="T585" s="58"/>
    </row>
    <row r="586" spans="2:20" x14ac:dyDescent="0.35">
      <c r="B586" s="45" t="str">
        <f>IF(J586="","",RANK($J586,$J$9:$J$620,0)+COUNTIF($J$9:J586,$J586)-1)</f>
        <v/>
      </c>
      <c r="C586" s="46"/>
      <c r="D586" s="46"/>
      <c r="E586" s="46"/>
      <c r="F586" s="47"/>
      <c r="G586" s="48"/>
      <c r="H586" s="46"/>
      <c r="I586" s="49"/>
      <c r="J586" s="50"/>
      <c r="K586" s="51"/>
      <c r="L586" s="52">
        <f t="shared" si="79"/>
        <v>31</v>
      </c>
      <c r="M586" s="52">
        <f t="shared" si="79"/>
        <v>31</v>
      </c>
      <c r="N586" s="53"/>
      <c r="O586" s="170"/>
      <c r="P586" s="55"/>
      <c r="Q586" s="171"/>
      <c r="R586" s="56" t="str">
        <f t="shared" ref="R586:R620" si="80">IF(I586="","",IF(($G$5-I586)/365&gt;1.5,"Renewed Lease","New Lease"))</f>
        <v/>
      </c>
      <c r="S586" s="57" t="str">
        <f t="shared" ref="S586:S620" si="81">IF(Q586="","",IFERROR(1-Q586/P586,""))</f>
        <v/>
      </c>
      <c r="T586" s="58"/>
    </row>
    <row r="587" spans="2:20" x14ac:dyDescent="0.35">
      <c r="B587" s="45" t="str">
        <f>IF(J587="","",RANK($J587,$J$9:$J$620,0)+COUNTIF($J$9:J587,$J587)-1)</f>
        <v/>
      </c>
      <c r="C587" s="46"/>
      <c r="D587" s="46"/>
      <c r="E587" s="46"/>
      <c r="F587" s="47"/>
      <c r="G587" s="48"/>
      <c r="H587" s="46"/>
      <c r="I587" s="49"/>
      <c r="J587" s="50"/>
      <c r="K587" s="51"/>
      <c r="L587" s="52">
        <f t="shared" si="79"/>
        <v>31</v>
      </c>
      <c r="M587" s="52">
        <f t="shared" si="79"/>
        <v>31</v>
      </c>
      <c r="N587" s="53"/>
      <c r="O587" s="170"/>
      <c r="P587" s="55"/>
      <c r="Q587" s="171"/>
      <c r="R587" s="56" t="str">
        <f t="shared" si="80"/>
        <v/>
      </c>
      <c r="S587" s="57" t="str">
        <f t="shared" si="81"/>
        <v/>
      </c>
      <c r="T587" s="58"/>
    </row>
    <row r="588" spans="2:20" x14ac:dyDescent="0.35">
      <c r="B588" s="45" t="str">
        <f>IF(J588="","",RANK($J588,$J$9:$J$620,0)+COUNTIF($J$9:J588,$J588)-1)</f>
        <v/>
      </c>
      <c r="C588" s="46"/>
      <c r="D588" s="46"/>
      <c r="E588" s="46"/>
      <c r="F588" s="47"/>
      <c r="G588" s="48"/>
      <c r="H588" s="46"/>
      <c r="I588" s="49"/>
      <c r="J588" s="50"/>
      <c r="K588" s="51"/>
      <c r="L588" s="52">
        <f t="shared" si="79"/>
        <v>31</v>
      </c>
      <c r="M588" s="52">
        <f t="shared" si="79"/>
        <v>31</v>
      </c>
      <c r="N588" s="53"/>
      <c r="O588" s="170"/>
      <c r="P588" s="55"/>
      <c r="Q588" s="171"/>
      <c r="R588" s="56" t="str">
        <f t="shared" si="80"/>
        <v/>
      </c>
      <c r="S588" s="57" t="str">
        <f t="shared" si="81"/>
        <v/>
      </c>
      <c r="T588" s="58"/>
    </row>
    <row r="589" spans="2:20" x14ac:dyDescent="0.35">
      <c r="B589" s="45" t="str">
        <f>IF(J589="","",RANK($J589,$J$9:$J$620,0)+COUNTIF($J$9:J589,$J589)-1)</f>
        <v/>
      </c>
      <c r="C589" s="46"/>
      <c r="D589" s="46"/>
      <c r="E589" s="46"/>
      <c r="F589" s="47"/>
      <c r="G589" s="48"/>
      <c r="H589" s="46"/>
      <c r="I589" s="49"/>
      <c r="J589" s="50"/>
      <c r="K589" s="51"/>
      <c r="L589" s="52">
        <f t="shared" si="79"/>
        <v>31</v>
      </c>
      <c r="M589" s="52">
        <f t="shared" si="79"/>
        <v>31</v>
      </c>
      <c r="N589" s="53"/>
      <c r="O589" s="170"/>
      <c r="P589" s="55"/>
      <c r="Q589" s="171"/>
      <c r="R589" s="56" t="str">
        <f t="shared" si="80"/>
        <v/>
      </c>
      <c r="S589" s="57" t="str">
        <f t="shared" si="81"/>
        <v/>
      </c>
      <c r="T589" s="58"/>
    </row>
    <row r="590" spans="2:20" x14ac:dyDescent="0.35">
      <c r="B590" s="45" t="str">
        <f>IF(J590="","",RANK($J590,$J$9:$J$620,0)+COUNTIF($J$9:J590,$J590)-1)</f>
        <v/>
      </c>
      <c r="C590" s="46"/>
      <c r="D590" s="46"/>
      <c r="E590" s="46"/>
      <c r="F590" s="47"/>
      <c r="G590" s="48"/>
      <c r="H590" s="46"/>
      <c r="I590" s="49"/>
      <c r="J590" s="50"/>
      <c r="K590" s="51"/>
      <c r="L590" s="52">
        <f t="shared" si="79"/>
        <v>31</v>
      </c>
      <c r="M590" s="52">
        <f t="shared" si="79"/>
        <v>31</v>
      </c>
      <c r="N590" s="53"/>
      <c r="O590" s="170"/>
      <c r="P590" s="55"/>
      <c r="Q590" s="171"/>
      <c r="R590" s="56" t="str">
        <f t="shared" si="80"/>
        <v/>
      </c>
      <c r="S590" s="57" t="str">
        <f t="shared" si="81"/>
        <v/>
      </c>
      <c r="T590" s="58"/>
    </row>
    <row r="591" spans="2:20" x14ac:dyDescent="0.35">
      <c r="B591" s="45" t="str">
        <f>IF(J591="","",RANK($J591,$J$9:$J$620,0)+COUNTIF($J$9:J591,$J591)-1)</f>
        <v/>
      </c>
      <c r="C591" s="46"/>
      <c r="D591" s="46"/>
      <c r="E591" s="46"/>
      <c r="F591" s="47"/>
      <c r="G591" s="48"/>
      <c r="H591" s="46"/>
      <c r="I591" s="49"/>
      <c r="J591" s="50"/>
      <c r="K591" s="51"/>
      <c r="L591" s="52">
        <f t="shared" si="79"/>
        <v>31</v>
      </c>
      <c r="M591" s="52">
        <f t="shared" si="79"/>
        <v>31</v>
      </c>
      <c r="N591" s="53"/>
      <c r="O591" s="170"/>
      <c r="P591" s="55"/>
      <c r="Q591" s="171"/>
      <c r="R591" s="56" t="str">
        <f t="shared" si="80"/>
        <v/>
      </c>
      <c r="S591" s="57" t="str">
        <f t="shared" si="81"/>
        <v/>
      </c>
      <c r="T591" s="58"/>
    </row>
    <row r="592" spans="2:20" x14ac:dyDescent="0.35">
      <c r="B592" s="45" t="str">
        <f>IF(J592="","",RANK($J592,$J$9:$J$620,0)+COUNTIF($J$9:J592,$J592)-1)</f>
        <v/>
      </c>
      <c r="C592" s="46"/>
      <c r="D592" s="46"/>
      <c r="E592" s="46"/>
      <c r="F592" s="47"/>
      <c r="G592" s="48"/>
      <c r="H592" s="46"/>
      <c r="I592" s="49"/>
      <c r="J592" s="50"/>
      <c r="K592" s="51"/>
      <c r="L592" s="52">
        <f t="shared" si="79"/>
        <v>31</v>
      </c>
      <c r="M592" s="52">
        <f t="shared" si="79"/>
        <v>31</v>
      </c>
      <c r="N592" s="53"/>
      <c r="O592" s="170"/>
      <c r="P592" s="55"/>
      <c r="Q592" s="171"/>
      <c r="R592" s="56" t="str">
        <f t="shared" si="80"/>
        <v/>
      </c>
      <c r="S592" s="57" t="str">
        <f t="shared" si="81"/>
        <v/>
      </c>
      <c r="T592" s="58"/>
    </row>
    <row r="593" spans="2:20" x14ac:dyDescent="0.35">
      <c r="B593" s="45" t="str">
        <f>IF(J593="","",RANK($J593,$J$9:$J$620,0)+COUNTIF($J$9:J593,$J593)-1)</f>
        <v/>
      </c>
      <c r="C593" s="46"/>
      <c r="D593" s="46"/>
      <c r="E593" s="46"/>
      <c r="F593" s="47"/>
      <c r="G593" s="48"/>
      <c r="H593" s="46"/>
      <c r="I593" s="49"/>
      <c r="J593" s="50"/>
      <c r="K593" s="51"/>
      <c r="L593" s="52">
        <f t="shared" si="79"/>
        <v>31</v>
      </c>
      <c r="M593" s="52">
        <f t="shared" si="79"/>
        <v>31</v>
      </c>
      <c r="N593" s="53"/>
      <c r="O593" s="170"/>
      <c r="P593" s="55"/>
      <c r="Q593" s="171"/>
      <c r="R593" s="56" t="str">
        <f t="shared" si="80"/>
        <v/>
      </c>
      <c r="S593" s="57" t="str">
        <f t="shared" si="81"/>
        <v/>
      </c>
      <c r="T593" s="58"/>
    </row>
    <row r="594" spans="2:20" x14ac:dyDescent="0.35">
      <c r="B594" s="45" t="str">
        <f>IF(J594="","",RANK($J594,$J$9:$J$620,0)+COUNTIF($J$9:J594,$J594)-1)</f>
        <v/>
      </c>
      <c r="C594" s="46"/>
      <c r="D594" s="46"/>
      <c r="E594" s="46"/>
      <c r="F594" s="47"/>
      <c r="G594" s="48"/>
      <c r="H594" s="46"/>
      <c r="I594" s="49"/>
      <c r="J594" s="50"/>
      <c r="K594" s="51"/>
      <c r="L594" s="52">
        <f t="shared" ref="L594:M620" si="82">EOMONTH(J594,0)</f>
        <v>31</v>
      </c>
      <c r="M594" s="52">
        <f t="shared" si="82"/>
        <v>31</v>
      </c>
      <c r="N594" s="53"/>
      <c r="O594" s="170"/>
      <c r="P594" s="55"/>
      <c r="Q594" s="171"/>
      <c r="R594" s="56" t="str">
        <f t="shared" si="80"/>
        <v/>
      </c>
      <c r="S594" s="57" t="str">
        <f t="shared" si="81"/>
        <v/>
      </c>
      <c r="T594" s="58"/>
    </row>
    <row r="595" spans="2:20" x14ac:dyDescent="0.35">
      <c r="B595" s="45" t="str">
        <f>IF(J595="","",RANK($J595,$J$9:$J$620,0)+COUNTIF($J$9:J595,$J595)-1)</f>
        <v/>
      </c>
      <c r="C595" s="46"/>
      <c r="D595" s="46"/>
      <c r="E595" s="46"/>
      <c r="F595" s="47"/>
      <c r="G595" s="48"/>
      <c r="H595" s="46"/>
      <c r="I595" s="49"/>
      <c r="J595" s="50"/>
      <c r="K595" s="51"/>
      <c r="L595" s="52">
        <f t="shared" si="82"/>
        <v>31</v>
      </c>
      <c r="M595" s="52">
        <f t="shared" si="82"/>
        <v>31</v>
      </c>
      <c r="N595" s="53"/>
      <c r="O595" s="170"/>
      <c r="P595" s="55"/>
      <c r="Q595" s="171"/>
      <c r="R595" s="56" t="str">
        <f t="shared" si="80"/>
        <v/>
      </c>
      <c r="S595" s="57" t="str">
        <f t="shared" si="81"/>
        <v/>
      </c>
      <c r="T595" s="58"/>
    </row>
    <row r="596" spans="2:20" x14ac:dyDescent="0.35">
      <c r="B596" s="45" t="str">
        <f>IF(J596="","",RANK($J596,$J$9:$J$620,0)+COUNTIF($J$9:J596,$J596)-1)</f>
        <v/>
      </c>
      <c r="C596" s="46"/>
      <c r="D596" s="46"/>
      <c r="E596" s="46"/>
      <c r="F596" s="47"/>
      <c r="G596" s="48"/>
      <c r="H596" s="46"/>
      <c r="I596" s="49"/>
      <c r="J596" s="50"/>
      <c r="K596" s="51"/>
      <c r="L596" s="52">
        <f t="shared" si="82"/>
        <v>31</v>
      </c>
      <c r="M596" s="52">
        <f t="shared" si="82"/>
        <v>31</v>
      </c>
      <c r="N596" s="53"/>
      <c r="O596" s="170"/>
      <c r="P596" s="55"/>
      <c r="Q596" s="171"/>
      <c r="R596" s="56" t="str">
        <f t="shared" si="80"/>
        <v/>
      </c>
      <c r="S596" s="57" t="str">
        <f t="shared" si="81"/>
        <v/>
      </c>
      <c r="T596" s="58"/>
    </row>
    <row r="597" spans="2:20" x14ac:dyDescent="0.35">
      <c r="B597" s="45" t="str">
        <f>IF(J597="","",RANK($J597,$J$9:$J$620,0)+COUNTIF($J$9:J597,$J597)-1)</f>
        <v/>
      </c>
      <c r="C597" s="46"/>
      <c r="D597" s="46"/>
      <c r="E597" s="46"/>
      <c r="F597" s="47"/>
      <c r="G597" s="48"/>
      <c r="H597" s="46"/>
      <c r="I597" s="49"/>
      <c r="J597" s="50"/>
      <c r="K597" s="51"/>
      <c r="L597" s="52">
        <f t="shared" si="82"/>
        <v>31</v>
      </c>
      <c r="M597" s="52">
        <f t="shared" si="82"/>
        <v>31</v>
      </c>
      <c r="N597" s="53"/>
      <c r="O597" s="170"/>
      <c r="P597" s="55"/>
      <c r="Q597" s="171"/>
      <c r="R597" s="56" t="str">
        <f t="shared" si="80"/>
        <v/>
      </c>
      <c r="S597" s="57" t="str">
        <f t="shared" si="81"/>
        <v/>
      </c>
      <c r="T597" s="58"/>
    </row>
    <row r="598" spans="2:20" x14ac:dyDescent="0.35">
      <c r="B598" s="45" t="str">
        <f>IF(J598="","",RANK($J598,$J$9:$J$620,0)+COUNTIF($J$9:J598,$J598)-1)</f>
        <v/>
      </c>
      <c r="C598" s="46"/>
      <c r="D598" s="46"/>
      <c r="E598" s="46"/>
      <c r="F598" s="47"/>
      <c r="G598" s="48"/>
      <c r="H598" s="46"/>
      <c r="I598" s="49"/>
      <c r="J598" s="50"/>
      <c r="K598" s="51"/>
      <c r="L598" s="52">
        <f t="shared" si="82"/>
        <v>31</v>
      </c>
      <c r="M598" s="52">
        <f t="shared" si="82"/>
        <v>31</v>
      </c>
      <c r="N598" s="53"/>
      <c r="O598" s="170"/>
      <c r="P598" s="55"/>
      <c r="Q598" s="171"/>
      <c r="R598" s="56" t="str">
        <f t="shared" si="80"/>
        <v/>
      </c>
      <c r="S598" s="57" t="str">
        <f t="shared" si="81"/>
        <v/>
      </c>
      <c r="T598" s="58"/>
    </row>
    <row r="599" spans="2:20" x14ac:dyDescent="0.35">
      <c r="B599" s="45" t="str">
        <f>IF(J599="","",RANK($J599,$J$9:$J$620,0)+COUNTIF($J$9:J599,$J599)-1)</f>
        <v/>
      </c>
      <c r="C599" s="46"/>
      <c r="D599" s="46"/>
      <c r="E599" s="46"/>
      <c r="F599" s="47"/>
      <c r="G599" s="48"/>
      <c r="H599" s="46"/>
      <c r="I599" s="49"/>
      <c r="J599" s="50"/>
      <c r="K599" s="51"/>
      <c r="L599" s="52">
        <f t="shared" si="82"/>
        <v>31</v>
      </c>
      <c r="M599" s="52">
        <f t="shared" si="82"/>
        <v>31</v>
      </c>
      <c r="N599" s="53"/>
      <c r="O599" s="170"/>
      <c r="P599" s="55"/>
      <c r="Q599" s="171"/>
      <c r="R599" s="56" t="str">
        <f t="shared" si="80"/>
        <v/>
      </c>
      <c r="S599" s="57" t="str">
        <f t="shared" si="81"/>
        <v/>
      </c>
      <c r="T599" s="58"/>
    </row>
    <row r="600" spans="2:20" x14ac:dyDescent="0.35">
      <c r="B600" s="45" t="str">
        <f>IF(J600="","",RANK($J600,$J$9:$J$620,0)+COUNTIF($J$9:J600,$J600)-1)</f>
        <v/>
      </c>
      <c r="C600" s="46"/>
      <c r="D600" s="46"/>
      <c r="E600" s="46"/>
      <c r="F600" s="47"/>
      <c r="G600" s="48"/>
      <c r="H600" s="46"/>
      <c r="I600" s="49"/>
      <c r="J600" s="50"/>
      <c r="K600" s="51"/>
      <c r="L600" s="52">
        <f t="shared" si="82"/>
        <v>31</v>
      </c>
      <c r="M600" s="52">
        <f t="shared" si="82"/>
        <v>31</v>
      </c>
      <c r="N600" s="53"/>
      <c r="O600" s="170"/>
      <c r="P600" s="55"/>
      <c r="Q600" s="171"/>
      <c r="R600" s="56" t="str">
        <f t="shared" si="80"/>
        <v/>
      </c>
      <c r="S600" s="57" t="str">
        <f t="shared" si="81"/>
        <v/>
      </c>
      <c r="T600" s="58"/>
    </row>
    <row r="601" spans="2:20" x14ac:dyDescent="0.35">
      <c r="B601" s="45" t="str">
        <f>IF(J601="","",RANK($J601,$J$9:$J$620,0)+COUNTIF($J$9:J601,$J601)-1)</f>
        <v/>
      </c>
      <c r="C601" s="46"/>
      <c r="D601" s="46"/>
      <c r="E601" s="46"/>
      <c r="F601" s="47"/>
      <c r="G601" s="48"/>
      <c r="H601" s="46"/>
      <c r="I601" s="49"/>
      <c r="J601" s="50"/>
      <c r="K601" s="51"/>
      <c r="L601" s="52">
        <f t="shared" si="82"/>
        <v>31</v>
      </c>
      <c r="M601" s="52">
        <f t="shared" si="82"/>
        <v>31</v>
      </c>
      <c r="N601" s="53"/>
      <c r="O601" s="170"/>
      <c r="P601" s="55"/>
      <c r="Q601" s="171"/>
      <c r="R601" s="56" t="str">
        <f t="shared" si="80"/>
        <v/>
      </c>
      <c r="S601" s="57" t="str">
        <f t="shared" si="81"/>
        <v/>
      </c>
      <c r="T601" s="58"/>
    </row>
    <row r="602" spans="2:20" x14ac:dyDescent="0.35">
      <c r="B602" s="45" t="str">
        <f>IF(J602="","",RANK($J602,$J$9:$J$620,0)+COUNTIF($J$9:J602,$J602)-1)</f>
        <v/>
      </c>
      <c r="C602" s="46"/>
      <c r="D602" s="46"/>
      <c r="E602" s="46"/>
      <c r="F602" s="47"/>
      <c r="G602" s="48"/>
      <c r="H602" s="46"/>
      <c r="I602" s="49"/>
      <c r="J602" s="50"/>
      <c r="K602" s="51"/>
      <c r="L602" s="52">
        <f t="shared" si="82"/>
        <v>31</v>
      </c>
      <c r="M602" s="52">
        <f t="shared" si="82"/>
        <v>31</v>
      </c>
      <c r="N602" s="53"/>
      <c r="O602" s="170"/>
      <c r="P602" s="55"/>
      <c r="Q602" s="171"/>
      <c r="R602" s="56" t="str">
        <f t="shared" si="80"/>
        <v/>
      </c>
      <c r="S602" s="57" t="str">
        <f t="shared" si="81"/>
        <v/>
      </c>
      <c r="T602" s="58"/>
    </row>
    <row r="603" spans="2:20" x14ac:dyDescent="0.35">
      <c r="B603" s="45" t="str">
        <f>IF(J603="","",RANK($J603,$J$9:$J$620,0)+COUNTIF($J$9:J603,$J603)-1)</f>
        <v/>
      </c>
      <c r="C603" s="46"/>
      <c r="D603" s="46"/>
      <c r="E603" s="46"/>
      <c r="F603" s="47"/>
      <c r="G603" s="48"/>
      <c r="H603" s="46"/>
      <c r="I603" s="49"/>
      <c r="J603" s="50"/>
      <c r="K603" s="51"/>
      <c r="L603" s="52">
        <f t="shared" si="82"/>
        <v>31</v>
      </c>
      <c r="M603" s="52">
        <f t="shared" si="82"/>
        <v>31</v>
      </c>
      <c r="N603" s="53"/>
      <c r="O603" s="170"/>
      <c r="P603" s="55"/>
      <c r="Q603" s="171"/>
      <c r="R603" s="56" t="str">
        <f t="shared" si="80"/>
        <v/>
      </c>
      <c r="S603" s="57" t="str">
        <f t="shared" si="81"/>
        <v/>
      </c>
      <c r="T603" s="58"/>
    </row>
    <row r="604" spans="2:20" x14ac:dyDescent="0.35">
      <c r="B604" s="45" t="str">
        <f>IF(J604="","",RANK($J604,$J$9:$J$620,0)+COUNTIF($J$9:J604,$J604)-1)</f>
        <v/>
      </c>
      <c r="C604" s="46"/>
      <c r="D604" s="46"/>
      <c r="E604" s="46"/>
      <c r="F604" s="47"/>
      <c r="G604" s="48"/>
      <c r="H604" s="46"/>
      <c r="I604" s="49"/>
      <c r="J604" s="50"/>
      <c r="K604" s="51"/>
      <c r="L604" s="52">
        <f t="shared" si="82"/>
        <v>31</v>
      </c>
      <c r="M604" s="52">
        <f t="shared" si="82"/>
        <v>31</v>
      </c>
      <c r="N604" s="53"/>
      <c r="O604" s="170"/>
      <c r="P604" s="55"/>
      <c r="Q604" s="171"/>
      <c r="R604" s="56" t="str">
        <f t="shared" si="80"/>
        <v/>
      </c>
      <c r="S604" s="57" t="str">
        <f t="shared" si="81"/>
        <v/>
      </c>
      <c r="T604" s="58"/>
    </row>
    <row r="605" spans="2:20" x14ac:dyDescent="0.35">
      <c r="B605" s="45" t="str">
        <f>IF(J605="","",RANK($J605,$J$9:$J$620,0)+COUNTIF($J$9:J605,$J605)-1)</f>
        <v/>
      </c>
      <c r="C605" s="46"/>
      <c r="D605" s="46"/>
      <c r="E605" s="46"/>
      <c r="F605" s="47"/>
      <c r="G605" s="48"/>
      <c r="H605" s="46"/>
      <c r="I605" s="49"/>
      <c r="J605" s="50"/>
      <c r="K605" s="51"/>
      <c r="L605" s="52">
        <f t="shared" si="82"/>
        <v>31</v>
      </c>
      <c r="M605" s="52">
        <f t="shared" si="82"/>
        <v>31</v>
      </c>
      <c r="N605" s="53"/>
      <c r="O605" s="170"/>
      <c r="P605" s="55"/>
      <c r="Q605" s="171"/>
      <c r="R605" s="56" t="str">
        <f t="shared" si="80"/>
        <v/>
      </c>
      <c r="S605" s="57" t="str">
        <f t="shared" si="81"/>
        <v/>
      </c>
      <c r="T605" s="58"/>
    </row>
    <row r="606" spans="2:20" x14ac:dyDescent="0.35">
      <c r="B606" s="45" t="str">
        <f>IF(J606="","",RANK($J606,$J$9:$J$620,0)+COUNTIF($J$9:J606,$J606)-1)</f>
        <v/>
      </c>
      <c r="C606" s="46"/>
      <c r="D606" s="46"/>
      <c r="E606" s="46"/>
      <c r="F606" s="47"/>
      <c r="G606" s="48"/>
      <c r="H606" s="46"/>
      <c r="I606" s="49"/>
      <c r="J606" s="50"/>
      <c r="K606" s="51"/>
      <c r="L606" s="52">
        <f t="shared" si="82"/>
        <v>31</v>
      </c>
      <c r="M606" s="52">
        <f t="shared" si="82"/>
        <v>31</v>
      </c>
      <c r="N606" s="53"/>
      <c r="O606" s="170"/>
      <c r="P606" s="55"/>
      <c r="Q606" s="171"/>
      <c r="R606" s="56" t="str">
        <f t="shared" si="80"/>
        <v/>
      </c>
      <c r="S606" s="57" t="str">
        <f t="shared" si="81"/>
        <v/>
      </c>
      <c r="T606" s="58"/>
    </row>
    <row r="607" spans="2:20" x14ac:dyDescent="0.35">
      <c r="B607" s="45" t="str">
        <f>IF(J607="","",RANK($J607,$J$9:$J$620,0)+COUNTIF($J$9:J607,$J607)-1)</f>
        <v/>
      </c>
      <c r="C607" s="46"/>
      <c r="D607" s="46"/>
      <c r="E607" s="46"/>
      <c r="F607" s="47"/>
      <c r="G607" s="48"/>
      <c r="H607" s="46"/>
      <c r="I607" s="49"/>
      <c r="J607" s="50"/>
      <c r="K607" s="51"/>
      <c r="L607" s="52">
        <f t="shared" si="82"/>
        <v>31</v>
      </c>
      <c r="M607" s="52">
        <f t="shared" si="82"/>
        <v>31</v>
      </c>
      <c r="N607" s="53"/>
      <c r="O607" s="170"/>
      <c r="P607" s="55"/>
      <c r="Q607" s="171"/>
      <c r="R607" s="56" t="str">
        <f t="shared" si="80"/>
        <v/>
      </c>
      <c r="S607" s="57" t="str">
        <f t="shared" si="81"/>
        <v/>
      </c>
      <c r="T607" s="58"/>
    </row>
    <row r="608" spans="2:20" x14ac:dyDescent="0.35">
      <c r="B608" s="45" t="str">
        <f>IF(J608="","",RANK($J608,$J$9:$J$620,0)+COUNTIF($J$9:J608,$J608)-1)</f>
        <v/>
      </c>
      <c r="C608" s="46"/>
      <c r="D608" s="46"/>
      <c r="E608" s="46"/>
      <c r="F608" s="47"/>
      <c r="G608" s="48"/>
      <c r="H608" s="46"/>
      <c r="I608" s="49"/>
      <c r="J608" s="50"/>
      <c r="K608" s="51"/>
      <c r="L608" s="52">
        <f t="shared" si="82"/>
        <v>31</v>
      </c>
      <c r="M608" s="52">
        <f t="shared" si="82"/>
        <v>31</v>
      </c>
      <c r="N608" s="53"/>
      <c r="O608" s="170"/>
      <c r="P608" s="55"/>
      <c r="Q608" s="171"/>
      <c r="R608" s="56" t="str">
        <f t="shared" si="80"/>
        <v/>
      </c>
      <c r="S608" s="57" t="str">
        <f t="shared" si="81"/>
        <v/>
      </c>
      <c r="T608" s="58"/>
    </row>
    <row r="609" spans="2:20" x14ac:dyDescent="0.35">
      <c r="B609" s="45" t="str">
        <f>IF(J609="","",RANK($J609,$J$9:$J$620,0)+COUNTIF($J$9:J609,$J609)-1)</f>
        <v/>
      </c>
      <c r="C609" s="46"/>
      <c r="D609" s="46"/>
      <c r="E609" s="46"/>
      <c r="F609" s="47"/>
      <c r="G609" s="48"/>
      <c r="H609" s="46"/>
      <c r="I609" s="49"/>
      <c r="J609" s="50"/>
      <c r="K609" s="51"/>
      <c r="L609" s="52">
        <f t="shared" si="82"/>
        <v>31</v>
      </c>
      <c r="M609" s="52">
        <f t="shared" si="82"/>
        <v>31</v>
      </c>
      <c r="N609" s="53"/>
      <c r="O609" s="170"/>
      <c r="P609" s="55"/>
      <c r="Q609" s="171"/>
      <c r="R609" s="56" t="str">
        <f t="shared" si="80"/>
        <v/>
      </c>
      <c r="S609" s="57" t="str">
        <f t="shared" si="81"/>
        <v/>
      </c>
      <c r="T609" s="58"/>
    </row>
    <row r="610" spans="2:20" x14ac:dyDescent="0.35">
      <c r="B610" s="45" t="str">
        <f>IF(J610="","",RANK($J610,$J$9:$J$620,0)+COUNTIF($J$9:J610,$J610)-1)</f>
        <v/>
      </c>
      <c r="C610" s="46"/>
      <c r="D610" s="46"/>
      <c r="E610" s="46"/>
      <c r="F610" s="47"/>
      <c r="G610" s="48"/>
      <c r="H610" s="46"/>
      <c r="I610" s="49"/>
      <c r="J610" s="50"/>
      <c r="K610" s="51"/>
      <c r="L610" s="52">
        <f t="shared" si="82"/>
        <v>31</v>
      </c>
      <c r="M610" s="52">
        <f t="shared" si="82"/>
        <v>31</v>
      </c>
      <c r="N610" s="53"/>
      <c r="O610" s="170"/>
      <c r="P610" s="55"/>
      <c r="Q610" s="171"/>
      <c r="R610" s="56" t="str">
        <f t="shared" si="80"/>
        <v/>
      </c>
      <c r="S610" s="57" t="str">
        <f t="shared" si="81"/>
        <v/>
      </c>
      <c r="T610" s="58"/>
    </row>
    <row r="611" spans="2:20" x14ac:dyDescent="0.35">
      <c r="B611" s="45" t="str">
        <f>IF(J611="","",RANK($J611,$J$9:$J$620,0)+COUNTIF($J$9:J611,$J611)-1)</f>
        <v/>
      </c>
      <c r="C611" s="46"/>
      <c r="D611" s="46"/>
      <c r="E611" s="46"/>
      <c r="F611" s="47"/>
      <c r="G611" s="48"/>
      <c r="H611" s="46"/>
      <c r="I611" s="49"/>
      <c r="J611" s="50"/>
      <c r="K611" s="51"/>
      <c r="L611" s="52">
        <f t="shared" si="82"/>
        <v>31</v>
      </c>
      <c r="M611" s="52">
        <f t="shared" si="82"/>
        <v>31</v>
      </c>
      <c r="N611" s="53"/>
      <c r="O611" s="170"/>
      <c r="P611" s="55"/>
      <c r="Q611" s="171"/>
      <c r="R611" s="56" t="str">
        <f t="shared" si="80"/>
        <v/>
      </c>
      <c r="S611" s="57" t="str">
        <f t="shared" si="81"/>
        <v/>
      </c>
      <c r="T611" s="58"/>
    </row>
    <row r="612" spans="2:20" x14ac:dyDescent="0.35">
      <c r="B612" s="45" t="str">
        <f>IF(J612="","",RANK($J612,$J$9:$J$620,0)+COUNTIF($J$9:J612,$J612)-1)</f>
        <v/>
      </c>
      <c r="C612" s="46"/>
      <c r="D612" s="46"/>
      <c r="E612" s="46"/>
      <c r="F612" s="47"/>
      <c r="G612" s="48"/>
      <c r="H612" s="46"/>
      <c r="I612" s="49"/>
      <c r="J612" s="50"/>
      <c r="K612" s="51"/>
      <c r="L612" s="52">
        <f t="shared" si="82"/>
        <v>31</v>
      </c>
      <c r="M612" s="52">
        <f t="shared" si="82"/>
        <v>31</v>
      </c>
      <c r="N612" s="53"/>
      <c r="O612" s="170"/>
      <c r="P612" s="55"/>
      <c r="Q612" s="171"/>
      <c r="R612" s="56" t="str">
        <f t="shared" si="80"/>
        <v/>
      </c>
      <c r="S612" s="57" t="str">
        <f t="shared" si="81"/>
        <v/>
      </c>
      <c r="T612" s="58"/>
    </row>
    <row r="613" spans="2:20" x14ac:dyDescent="0.35">
      <c r="B613" s="45" t="str">
        <f>IF(J613="","",RANK($J613,$J$9:$J$620,0)+COUNTIF($J$9:J613,$J613)-1)</f>
        <v/>
      </c>
      <c r="C613" s="46"/>
      <c r="D613" s="46"/>
      <c r="E613" s="46"/>
      <c r="F613" s="47"/>
      <c r="G613" s="48"/>
      <c r="H613" s="46"/>
      <c r="I613" s="49"/>
      <c r="J613" s="50"/>
      <c r="K613" s="51"/>
      <c r="L613" s="52">
        <f t="shared" si="82"/>
        <v>31</v>
      </c>
      <c r="M613" s="52">
        <f t="shared" si="82"/>
        <v>31</v>
      </c>
      <c r="N613" s="53"/>
      <c r="O613" s="170"/>
      <c r="P613" s="55"/>
      <c r="Q613" s="171"/>
      <c r="R613" s="56" t="str">
        <f t="shared" si="80"/>
        <v/>
      </c>
      <c r="S613" s="57" t="str">
        <f t="shared" si="81"/>
        <v/>
      </c>
      <c r="T613" s="58"/>
    </row>
    <row r="614" spans="2:20" x14ac:dyDescent="0.35">
      <c r="B614" s="45" t="str">
        <f>IF(J614="","",RANK($J614,$J$9:$J$620,0)+COUNTIF($J$9:J614,$J614)-1)</f>
        <v/>
      </c>
      <c r="C614" s="46"/>
      <c r="D614" s="46"/>
      <c r="E614" s="46"/>
      <c r="F614" s="47"/>
      <c r="G614" s="48"/>
      <c r="H614" s="46"/>
      <c r="I614" s="49"/>
      <c r="J614" s="50"/>
      <c r="K614" s="51"/>
      <c r="L614" s="52">
        <f t="shared" si="82"/>
        <v>31</v>
      </c>
      <c r="M614" s="52">
        <f t="shared" si="82"/>
        <v>31</v>
      </c>
      <c r="N614" s="53"/>
      <c r="O614" s="170"/>
      <c r="P614" s="55"/>
      <c r="Q614" s="171"/>
      <c r="R614" s="56" t="str">
        <f t="shared" si="80"/>
        <v/>
      </c>
      <c r="S614" s="57" t="str">
        <f t="shared" si="81"/>
        <v/>
      </c>
      <c r="T614" s="58"/>
    </row>
    <row r="615" spans="2:20" x14ac:dyDescent="0.35">
      <c r="B615" s="45" t="str">
        <f>IF(J615="","",RANK($J615,$J$9:$J$620,0)+COUNTIF($J$9:J615,$J615)-1)</f>
        <v/>
      </c>
      <c r="C615" s="46"/>
      <c r="D615" s="46"/>
      <c r="E615" s="46"/>
      <c r="F615" s="47"/>
      <c r="G615" s="48"/>
      <c r="H615" s="46"/>
      <c r="I615" s="49"/>
      <c r="J615" s="50"/>
      <c r="K615" s="51"/>
      <c r="L615" s="52">
        <f t="shared" si="82"/>
        <v>31</v>
      </c>
      <c r="M615" s="52">
        <f t="shared" si="82"/>
        <v>31</v>
      </c>
      <c r="N615" s="53"/>
      <c r="O615" s="170"/>
      <c r="P615" s="55"/>
      <c r="Q615" s="171"/>
      <c r="R615" s="56" t="str">
        <f t="shared" si="80"/>
        <v/>
      </c>
      <c r="S615" s="57" t="str">
        <f t="shared" si="81"/>
        <v/>
      </c>
      <c r="T615" s="58"/>
    </row>
    <row r="616" spans="2:20" x14ac:dyDescent="0.35">
      <c r="B616" s="45" t="str">
        <f>IF(J616="","",RANK($J616,$J$9:$J$620,0)+COUNTIF($J$9:J616,$J616)-1)</f>
        <v/>
      </c>
      <c r="C616" s="46"/>
      <c r="D616" s="46"/>
      <c r="E616" s="46"/>
      <c r="F616" s="47"/>
      <c r="G616" s="48"/>
      <c r="H616" s="46"/>
      <c r="I616" s="49"/>
      <c r="J616" s="50"/>
      <c r="K616" s="51"/>
      <c r="L616" s="52">
        <f t="shared" si="82"/>
        <v>31</v>
      </c>
      <c r="M616" s="52">
        <f t="shared" si="82"/>
        <v>31</v>
      </c>
      <c r="N616" s="53"/>
      <c r="O616" s="170"/>
      <c r="P616" s="55"/>
      <c r="Q616" s="171"/>
      <c r="R616" s="56" t="str">
        <f t="shared" si="80"/>
        <v/>
      </c>
      <c r="S616" s="57" t="str">
        <f t="shared" si="81"/>
        <v/>
      </c>
      <c r="T616" s="58"/>
    </row>
    <row r="617" spans="2:20" x14ac:dyDescent="0.35">
      <c r="B617" s="45" t="str">
        <f>IF(J617="","",RANK($J617,$J$9:$J$620,0)+COUNTIF($J$9:J617,$J617)-1)</f>
        <v/>
      </c>
      <c r="C617" s="46"/>
      <c r="D617" s="46"/>
      <c r="E617" s="46"/>
      <c r="F617" s="47"/>
      <c r="G617" s="48"/>
      <c r="H617" s="46"/>
      <c r="I617" s="49"/>
      <c r="J617" s="50"/>
      <c r="K617" s="51"/>
      <c r="L617" s="52">
        <f t="shared" si="82"/>
        <v>31</v>
      </c>
      <c r="M617" s="52">
        <f t="shared" si="82"/>
        <v>31</v>
      </c>
      <c r="N617" s="53"/>
      <c r="O617" s="170"/>
      <c r="P617" s="55"/>
      <c r="Q617" s="171"/>
      <c r="R617" s="56" t="str">
        <f t="shared" si="80"/>
        <v/>
      </c>
      <c r="S617" s="57" t="str">
        <f t="shared" si="81"/>
        <v/>
      </c>
      <c r="T617" s="58"/>
    </row>
    <row r="618" spans="2:20" x14ac:dyDescent="0.35">
      <c r="B618" s="45" t="str">
        <f>IF(J618="","",RANK($J618,$J$9:$J$620,0)+COUNTIF($J$9:J618,$J618)-1)</f>
        <v/>
      </c>
      <c r="C618" s="46"/>
      <c r="D618" s="46"/>
      <c r="E618" s="46"/>
      <c r="F618" s="47"/>
      <c r="G618" s="48"/>
      <c r="H618" s="46"/>
      <c r="I618" s="49"/>
      <c r="J618" s="50"/>
      <c r="K618" s="51"/>
      <c r="L618" s="52">
        <f t="shared" si="82"/>
        <v>31</v>
      </c>
      <c r="M618" s="52">
        <f t="shared" si="82"/>
        <v>31</v>
      </c>
      <c r="N618" s="53"/>
      <c r="O618" s="170"/>
      <c r="P618" s="55"/>
      <c r="Q618" s="171"/>
      <c r="R618" s="56" t="str">
        <f t="shared" si="80"/>
        <v/>
      </c>
      <c r="S618" s="57" t="str">
        <f t="shared" si="81"/>
        <v/>
      </c>
      <c r="T618" s="58"/>
    </row>
    <row r="619" spans="2:20" x14ac:dyDescent="0.35">
      <c r="B619" s="45" t="str">
        <f>IF(J619="","",RANK($J619,$J$9:$J$620,0)+COUNTIF($J$9:J619,$J619)-1)</f>
        <v/>
      </c>
      <c r="C619" s="46"/>
      <c r="D619" s="46"/>
      <c r="E619" s="46"/>
      <c r="F619" s="47"/>
      <c r="G619" s="48"/>
      <c r="H619" s="46"/>
      <c r="I619" s="49"/>
      <c r="J619" s="50"/>
      <c r="K619" s="51"/>
      <c r="L619" s="52">
        <f t="shared" si="82"/>
        <v>31</v>
      </c>
      <c r="M619" s="52">
        <f t="shared" si="82"/>
        <v>31</v>
      </c>
      <c r="N619" s="53"/>
      <c r="O619" s="170"/>
      <c r="P619" s="55"/>
      <c r="Q619" s="171"/>
      <c r="R619" s="56" t="str">
        <f t="shared" si="80"/>
        <v/>
      </c>
      <c r="S619" s="57" t="str">
        <f t="shared" si="81"/>
        <v/>
      </c>
      <c r="T619" s="58"/>
    </row>
    <row r="620" spans="2:20" x14ac:dyDescent="0.35">
      <c r="B620" s="45" t="str">
        <f>IF(J620="","",RANK($J620,$J$9:$J$620,0)+COUNTIF($J$9:J620,$J620)-1)</f>
        <v/>
      </c>
      <c r="C620" s="46"/>
      <c r="D620" s="46"/>
      <c r="E620" s="46"/>
      <c r="F620" s="47"/>
      <c r="G620" s="48"/>
      <c r="H620" s="46"/>
      <c r="I620" s="49"/>
      <c r="J620" s="50"/>
      <c r="K620" s="51"/>
      <c r="L620" s="52">
        <f t="shared" si="82"/>
        <v>31</v>
      </c>
      <c r="M620" s="52">
        <f t="shared" si="82"/>
        <v>31</v>
      </c>
      <c r="N620" s="53"/>
      <c r="O620" s="170"/>
      <c r="P620" s="55"/>
      <c r="Q620" s="171"/>
      <c r="R620" s="56" t="str">
        <f t="shared" si="80"/>
        <v/>
      </c>
      <c r="S620" s="57" t="str">
        <f t="shared" si="81"/>
        <v/>
      </c>
      <c r="T620" s="58"/>
    </row>
    <row r="621" spans="2:20" x14ac:dyDescent="0.35">
      <c r="G621" s="172"/>
      <c r="R621" s="173"/>
      <c r="S621" s="173"/>
    </row>
    <row r="622" spans="2:20" x14ac:dyDescent="0.35">
      <c r="G622" s="172"/>
      <c r="R622" s="173"/>
      <c r="S622" s="173"/>
    </row>
    <row r="623" spans="2:20" x14ac:dyDescent="0.35">
      <c r="G623" s="172"/>
      <c r="R623" s="173"/>
      <c r="S623" s="173"/>
    </row>
    <row r="624" spans="2:20" x14ac:dyDescent="0.35">
      <c r="G624" s="172"/>
      <c r="R624" s="173"/>
      <c r="S624" s="173"/>
    </row>
    <row r="625" spans="7:19" x14ac:dyDescent="0.35">
      <c r="G625" s="172"/>
      <c r="R625" s="173"/>
      <c r="S625" s="173"/>
    </row>
    <row r="626" spans="7:19" x14ac:dyDescent="0.35">
      <c r="G626" s="172"/>
      <c r="R626" s="173"/>
      <c r="S626" s="173"/>
    </row>
    <row r="627" spans="7:19" x14ac:dyDescent="0.35">
      <c r="G627" s="172"/>
      <c r="R627" s="173"/>
      <c r="S627" s="173"/>
    </row>
    <row r="628" spans="7:19" x14ac:dyDescent="0.35">
      <c r="G628" s="172"/>
      <c r="R628" s="173"/>
      <c r="S628" s="173"/>
    </row>
    <row r="629" spans="7:19" x14ac:dyDescent="0.35">
      <c r="G629" s="172"/>
      <c r="R629" s="173"/>
      <c r="S629" s="173"/>
    </row>
    <row r="630" spans="7:19" x14ac:dyDescent="0.35">
      <c r="G630" s="172"/>
      <c r="R630" s="173"/>
      <c r="S630" s="173"/>
    </row>
    <row r="631" spans="7:19" x14ac:dyDescent="0.35">
      <c r="G631" s="172"/>
      <c r="R631" s="173"/>
      <c r="S631" s="173"/>
    </row>
    <row r="632" spans="7:19" x14ac:dyDescent="0.35">
      <c r="G632" s="172"/>
      <c r="R632" s="173"/>
      <c r="S632" s="173"/>
    </row>
    <row r="633" spans="7:19" x14ac:dyDescent="0.35">
      <c r="G633" s="172"/>
      <c r="R633" s="173"/>
      <c r="S633" s="173"/>
    </row>
    <row r="634" spans="7:19" x14ac:dyDescent="0.35">
      <c r="G634" s="172"/>
      <c r="R634" s="173"/>
      <c r="S634" s="173"/>
    </row>
    <row r="635" spans="7:19" x14ac:dyDescent="0.35">
      <c r="G635" s="172"/>
      <c r="R635" s="173"/>
      <c r="S635" s="173"/>
    </row>
    <row r="636" spans="7:19" x14ac:dyDescent="0.35">
      <c r="G636" s="172"/>
      <c r="R636" s="173"/>
      <c r="S636" s="173"/>
    </row>
    <row r="637" spans="7:19" x14ac:dyDescent="0.35">
      <c r="G637" s="172"/>
      <c r="R637" s="173"/>
      <c r="S637" s="173"/>
    </row>
    <row r="638" spans="7:19" x14ac:dyDescent="0.35">
      <c r="G638" s="172"/>
      <c r="R638" s="173"/>
      <c r="S638" s="173"/>
    </row>
    <row r="639" spans="7:19" x14ac:dyDescent="0.35">
      <c r="G639" s="172"/>
      <c r="R639" s="173"/>
      <c r="S639" s="173"/>
    </row>
    <row r="640" spans="7:19" x14ac:dyDescent="0.35">
      <c r="G640" s="172"/>
      <c r="R640" s="173"/>
      <c r="S640" s="173"/>
    </row>
    <row r="641" spans="7:19" x14ac:dyDescent="0.35">
      <c r="G641" s="172"/>
      <c r="R641" s="173"/>
      <c r="S641" s="173"/>
    </row>
    <row r="642" spans="7:19" x14ac:dyDescent="0.35">
      <c r="G642" s="172"/>
      <c r="R642" s="173"/>
      <c r="S642" s="173"/>
    </row>
    <row r="643" spans="7:19" x14ac:dyDescent="0.35">
      <c r="G643" s="172"/>
      <c r="R643" s="173"/>
      <c r="S643" s="173"/>
    </row>
    <row r="644" spans="7:19" x14ac:dyDescent="0.35">
      <c r="G644" s="172"/>
      <c r="R644" s="173"/>
      <c r="S644" s="173"/>
    </row>
    <row r="645" spans="7:19" x14ac:dyDescent="0.35">
      <c r="G645" s="172"/>
      <c r="R645" s="173"/>
      <c r="S645" s="173"/>
    </row>
    <row r="646" spans="7:19" x14ac:dyDescent="0.35">
      <c r="G646" s="172"/>
      <c r="R646" s="173"/>
      <c r="S646" s="173"/>
    </row>
    <row r="647" spans="7:19" x14ac:dyDescent="0.35">
      <c r="G647" s="172"/>
      <c r="R647" s="173"/>
      <c r="S647" s="173"/>
    </row>
    <row r="648" spans="7:19" x14ac:dyDescent="0.35">
      <c r="G648" s="172"/>
      <c r="R648" s="173"/>
      <c r="S648" s="173"/>
    </row>
    <row r="649" spans="7:19" x14ac:dyDescent="0.35">
      <c r="G649" s="172"/>
      <c r="R649" s="173"/>
      <c r="S649" s="173"/>
    </row>
    <row r="650" spans="7:19" x14ac:dyDescent="0.35">
      <c r="G650" s="172"/>
      <c r="R650" s="173"/>
      <c r="S650" s="173"/>
    </row>
    <row r="651" spans="7:19" x14ac:dyDescent="0.35">
      <c r="G651" s="172"/>
      <c r="R651" s="173"/>
      <c r="S651" s="173"/>
    </row>
    <row r="652" spans="7:19" x14ac:dyDescent="0.35">
      <c r="G652" s="172"/>
      <c r="R652" s="173"/>
      <c r="S652" s="173"/>
    </row>
    <row r="653" spans="7:19" x14ac:dyDescent="0.35">
      <c r="G653" s="172"/>
      <c r="R653" s="173"/>
      <c r="S653" s="173"/>
    </row>
    <row r="654" spans="7:19" x14ac:dyDescent="0.35">
      <c r="G654" s="172"/>
      <c r="R654" s="173"/>
      <c r="S654" s="173"/>
    </row>
    <row r="655" spans="7:19" x14ac:dyDescent="0.35">
      <c r="G655" s="172"/>
      <c r="R655" s="173"/>
      <c r="S655" s="173"/>
    </row>
    <row r="656" spans="7:19" x14ac:dyDescent="0.35">
      <c r="G656" s="172"/>
      <c r="R656" s="173"/>
      <c r="S656" s="173"/>
    </row>
    <row r="657" spans="7:19" x14ac:dyDescent="0.35">
      <c r="G657" s="172"/>
      <c r="R657" s="173"/>
      <c r="S657" s="173"/>
    </row>
    <row r="658" spans="7:19" x14ac:dyDescent="0.35">
      <c r="G658" s="172"/>
      <c r="R658" s="173"/>
      <c r="S658" s="173"/>
    </row>
    <row r="659" spans="7:19" x14ac:dyDescent="0.35">
      <c r="G659" s="172"/>
      <c r="R659" s="173"/>
      <c r="S659" s="173"/>
    </row>
    <row r="660" spans="7:19" x14ac:dyDescent="0.35">
      <c r="G660" s="172"/>
      <c r="R660" s="173"/>
      <c r="S660" s="173"/>
    </row>
    <row r="661" spans="7:19" x14ac:dyDescent="0.35">
      <c r="G661" s="172"/>
      <c r="R661" s="173"/>
      <c r="S661" s="173"/>
    </row>
    <row r="662" spans="7:19" x14ac:dyDescent="0.35">
      <c r="G662" s="172"/>
      <c r="R662" s="173"/>
      <c r="S662" s="173"/>
    </row>
    <row r="663" spans="7:19" x14ac:dyDescent="0.35">
      <c r="G663" s="172"/>
      <c r="R663" s="173"/>
      <c r="S663" s="173"/>
    </row>
    <row r="664" spans="7:19" x14ac:dyDescent="0.35">
      <c r="G664" s="172"/>
      <c r="R664" s="173"/>
      <c r="S664" s="173"/>
    </row>
    <row r="665" spans="7:19" x14ac:dyDescent="0.35">
      <c r="G665" s="172"/>
      <c r="R665" s="173"/>
      <c r="S665" s="173"/>
    </row>
    <row r="666" spans="7:19" x14ac:dyDescent="0.35">
      <c r="G666" s="172"/>
      <c r="R666" s="173"/>
      <c r="S666" s="173"/>
    </row>
    <row r="667" spans="7:19" x14ac:dyDescent="0.35">
      <c r="G667" s="172"/>
      <c r="R667" s="173"/>
      <c r="S667" s="173"/>
    </row>
    <row r="668" spans="7:19" x14ac:dyDescent="0.35">
      <c r="G668" s="172"/>
      <c r="R668" s="173"/>
      <c r="S668" s="173"/>
    </row>
    <row r="669" spans="7:19" x14ac:dyDescent="0.35">
      <c r="G669" s="172"/>
      <c r="R669" s="173"/>
      <c r="S669" s="173"/>
    </row>
    <row r="670" spans="7:19" x14ac:dyDescent="0.35">
      <c r="G670" s="172"/>
      <c r="R670" s="173"/>
      <c r="S670" s="173"/>
    </row>
    <row r="671" spans="7:19" x14ac:dyDescent="0.35">
      <c r="G671" s="172"/>
      <c r="R671" s="173"/>
      <c r="S671" s="173"/>
    </row>
    <row r="672" spans="7:19" x14ac:dyDescent="0.35">
      <c r="G672" s="172"/>
      <c r="R672" s="173"/>
      <c r="S672" s="173"/>
    </row>
    <row r="673" spans="7:19" x14ac:dyDescent="0.35">
      <c r="G673" s="172"/>
      <c r="R673" s="173"/>
      <c r="S673" s="173"/>
    </row>
    <row r="674" spans="7:19" x14ac:dyDescent="0.35">
      <c r="G674" s="172"/>
      <c r="R674" s="173"/>
      <c r="S674" s="173"/>
    </row>
    <row r="675" spans="7:19" x14ac:dyDescent="0.35">
      <c r="G675" s="172"/>
      <c r="R675" s="173"/>
      <c r="S675" s="173"/>
    </row>
    <row r="676" spans="7:19" x14ac:dyDescent="0.35">
      <c r="G676" s="172"/>
      <c r="R676" s="173"/>
      <c r="S676" s="173"/>
    </row>
    <row r="677" spans="7:19" x14ac:dyDescent="0.35">
      <c r="G677" s="172"/>
      <c r="R677" s="173"/>
      <c r="S677" s="173"/>
    </row>
    <row r="678" spans="7:19" x14ac:dyDescent="0.35">
      <c r="G678" s="172"/>
      <c r="R678" s="173"/>
      <c r="S678" s="173"/>
    </row>
    <row r="679" spans="7:19" x14ac:dyDescent="0.35">
      <c r="G679" s="172"/>
      <c r="R679" s="173"/>
      <c r="S679" s="173"/>
    </row>
    <row r="680" spans="7:19" x14ac:dyDescent="0.35">
      <c r="G680" s="172"/>
      <c r="R680" s="173"/>
      <c r="S680" s="173"/>
    </row>
    <row r="681" spans="7:19" x14ac:dyDescent="0.35">
      <c r="G681" s="172"/>
      <c r="R681" s="173"/>
      <c r="S681" s="173"/>
    </row>
    <row r="682" spans="7:19" x14ac:dyDescent="0.35">
      <c r="G682" s="172"/>
      <c r="R682" s="173"/>
      <c r="S682" s="173"/>
    </row>
    <row r="683" spans="7:19" x14ac:dyDescent="0.35">
      <c r="G683" s="172"/>
      <c r="R683" s="173"/>
      <c r="S683" s="173"/>
    </row>
    <row r="684" spans="7:19" x14ac:dyDescent="0.35">
      <c r="G684" s="172"/>
      <c r="R684" s="173"/>
      <c r="S684" s="173"/>
    </row>
    <row r="685" spans="7:19" x14ac:dyDescent="0.35">
      <c r="G685" s="172"/>
      <c r="R685" s="173"/>
      <c r="S685" s="173"/>
    </row>
    <row r="686" spans="7:19" x14ac:dyDescent="0.35">
      <c r="G686" s="172"/>
      <c r="R686" s="173"/>
      <c r="S686" s="173"/>
    </row>
    <row r="687" spans="7:19" x14ac:dyDescent="0.35">
      <c r="G687" s="172"/>
      <c r="R687" s="173"/>
      <c r="S687" s="173"/>
    </row>
    <row r="688" spans="7:19" x14ac:dyDescent="0.35">
      <c r="G688" s="172"/>
      <c r="R688" s="173"/>
      <c r="S688" s="173"/>
    </row>
    <row r="689" spans="7:19" x14ac:dyDescent="0.35">
      <c r="G689" s="172"/>
      <c r="R689" s="173"/>
      <c r="S689" s="173"/>
    </row>
    <row r="690" spans="7:19" x14ac:dyDescent="0.35">
      <c r="G690" s="172"/>
      <c r="R690" s="173"/>
      <c r="S690" s="173"/>
    </row>
    <row r="691" spans="7:19" x14ac:dyDescent="0.35">
      <c r="G691" s="172"/>
      <c r="R691" s="173"/>
      <c r="S691" s="173"/>
    </row>
    <row r="692" spans="7:19" x14ac:dyDescent="0.35">
      <c r="G692" s="172"/>
      <c r="R692" s="173"/>
      <c r="S692" s="173"/>
    </row>
    <row r="693" spans="7:19" x14ac:dyDescent="0.35">
      <c r="G693" s="172"/>
      <c r="R693" s="173"/>
      <c r="S693" s="173"/>
    </row>
    <row r="694" spans="7:19" x14ac:dyDescent="0.35">
      <c r="G694" s="172"/>
      <c r="R694" s="173"/>
      <c r="S694" s="173"/>
    </row>
    <row r="695" spans="7:19" x14ac:dyDescent="0.35">
      <c r="G695" s="172"/>
      <c r="R695" s="173"/>
      <c r="S695" s="173"/>
    </row>
    <row r="696" spans="7:19" x14ac:dyDescent="0.35">
      <c r="G696" s="172"/>
      <c r="R696" s="173"/>
      <c r="S696" s="173"/>
    </row>
    <row r="697" spans="7:19" x14ac:dyDescent="0.35">
      <c r="G697" s="172"/>
      <c r="R697" s="173"/>
      <c r="S697" s="173"/>
    </row>
    <row r="698" spans="7:19" x14ac:dyDescent="0.35">
      <c r="G698" s="172"/>
      <c r="R698" s="173"/>
      <c r="S698" s="173"/>
    </row>
    <row r="699" spans="7:19" x14ac:dyDescent="0.35">
      <c r="G699" s="172"/>
      <c r="R699" s="173"/>
      <c r="S699" s="173"/>
    </row>
    <row r="700" spans="7:19" x14ac:dyDescent="0.35">
      <c r="G700" s="172"/>
      <c r="R700" s="173"/>
      <c r="S700" s="173"/>
    </row>
    <row r="701" spans="7:19" x14ac:dyDescent="0.35">
      <c r="G701" s="172"/>
      <c r="R701" s="173"/>
      <c r="S701" s="173"/>
    </row>
    <row r="702" spans="7:19" x14ac:dyDescent="0.35">
      <c r="G702" s="172"/>
      <c r="R702" s="173"/>
      <c r="S702" s="173"/>
    </row>
    <row r="703" spans="7:19" x14ac:dyDescent="0.35">
      <c r="G703" s="172"/>
      <c r="R703" s="173"/>
      <c r="S703" s="173"/>
    </row>
    <row r="704" spans="7:19" x14ac:dyDescent="0.35">
      <c r="G704" s="172"/>
      <c r="R704" s="173"/>
      <c r="S704" s="173"/>
    </row>
    <row r="705" spans="7:19" x14ac:dyDescent="0.35">
      <c r="G705" s="172"/>
      <c r="R705" s="173"/>
      <c r="S705" s="173"/>
    </row>
    <row r="706" spans="7:19" x14ac:dyDescent="0.35">
      <c r="G706" s="172"/>
      <c r="R706" s="173"/>
      <c r="S706" s="173"/>
    </row>
    <row r="707" spans="7:19" x14ac:dyDescent="0.35">
      <c r="G707" s="172"/>
      <c r="R707" s="173"/>
      <c r="S707" s="173"/>
    </row>
    <row r="708" spans="7:19" x14ac:dyDescent="0.35">
      <c r="G708" s="172"/>
      <c r="R708" s="173"/>
      <c r="S708" s="173"/>
    </row>
    <row r="709" spans="7:19" x14ac:dyDescent="0.35">
      <c r="G709" s="172"/>
      <c r="R709" s="173"/>
      <c r="S709" s="173"/>
    </row>
    <row r="710" spans="7:19" x14ac:dyDescent="0.35">
      <c r="G710" s="172"/>
      <c r="R710" s="173"/>
      <c r="S710" s="173"/>
    </row>
    <row r="711" spans="7:19" x14ac:dyDescent="0.35">
      <c r="G711" s="172"/>
      <c r="R711" s="173"/>
      <c r="S711" s="173"/>
    </row>
    <row r="712" spans="7:19" x14ac:dyDescent="0.35">
      <c r="G712" s="172"/>
      <c r="R712" s="173"/>
      <c r="S712" s="173"/>
    </row>
    <row r="713" spans="7:19" x14ac:dyDescent="0.35">
      <c r="G713" s="172"/>
      <c r="R713" s="173"/>
      <c r="S713" s="173"/>
    </row>
    <row r="714" spans="7:19" x14ac:dyDescent="0.35">
      <c r="G714" s="172"/>
      <c r="R714" s="173"/>
      <c r="S714" s="173"/>
    </row>
    <row r="715" spans="7:19" x14ac:dyDescent="0.35">
      <c r="G715" s="172"/>
      <c r="R715" s="173"/>
      <c r="S715" s="173"/>
    </row>
    <row r="716" spans="7:19" x14ac:dyDescent="0.35">
      <c r="G716" s="172"/>
      <c r="R716" s="173"/>
      <c r="S716" s="173"/>
    </row>
    <row r="717" spans="7:19" x14ac:dyDescent="0.35">
      <c r="G717" s="172"/>
      <c r="R717" s="173"/>
      <c r="S717" s="173"/>
    </row>
    <row r="718" spans="7:19" x14ac:dyDescent="0.35">
      <c r="G718" s="172"/>
      <c r="R718" s="173"/>
      <c r="S718" s="173"/>
    </row>
    <row r="719" spans="7:19" x14ac:dyDescent="0.35">
      <c r="G719" s="172"/>
      <c r="R719" s="173"/>
      <c r="S719" s="173"/>
    </row>
    <row r="720" spans="7:19" x14ac:dyDescent="0.35">
      <c r="G720" s="172"/>
      <c r="R720" s="173"/>
      <c r="S720" s="173"/>
    </row>
    <row r="721" spans="7:19" x14ac:dyDescent="0.35">
      <c r="G721" s="172"/>
      <c r="R721" s="173"/>
      <c r="S721" s="173"/>
    </row>
    <row r="722" spans="7:19" x14ac:dyDescent="0.35">
      <c r="G722" s="172"/>
      <c r="R722" s="173"/>
      <c r="S722" s="173"/>
    </row>
    <row r="723" spans="7:19" x14ac:dyDescent="0.35">
      <c r="G723" s="172"/>
      <c r="R723" s="173"/>
      <c r="S723" s="173"/>
    </row>
    <row r="724" spans="7:19" x14ac:dyDescent="0.35">
      <c r="G724" s="172"/>
      <c r="R724" s="173"/>
      <c r="S724" s="173"/>
    </row>
    <row r="725" spans="7:19" x14ac:dyDescent="0.35">
      <c r="G725" s="172"/>
      <c r="R725" s="173"/>
      <c r="S725" s="173"/>
    </row>
    <row r="726" spans="7:19" x14ac:dyDescent="0.35">
      <c r="G726" s="172"/>
      <c r="R726" s="173"/>
      <c r="S726" s="173"/>
    </row>
    <row r="727" spans="7:19" x14ac:dyDescent="0.35">
      <c r="G727" s="172"/>
      <c r="R727" s="173"/>
      <c r="S727" s="173"/>
    </row>
    <row r="728" spans="7:19" x14ac:dyDescent="0.35">
      <c r="G728" s="172"/>
      <c r="R728" s="173"/>
      <c r="S728" s="173"/>
    </row>
    <row r="729" spans="7:19" x14ac:dyDescent="0.35">
      <c r="G729" s="172"/>
      <c r="R729" s="173"/>
      <c r="S729" s="173"/>
    </row>
    <row r="730" spans="7:19" x14ac:dyDescent="0.35">
      <c r="G730" s="172"/>
      <c r="R730" s="173"/>
      <c r="S730" s="173"/>
    </row>
    <row r="731" spans="7:19" x14ac:dyDescent="0.35">
      <c r="G731" s="172"/>
      <c r="R731" s="173"/>
      <c r="S731" s="173"/>
    </row>
    <row r="732" spans="7:19" x14ac:dyDescent="0.35">
      <c r="G732" s="172"/>
      <c r="R732" s="173"/>
      <c r="S732" s="173"/>
    </row>
    <row r="733" spans="7:19" x14ac:dyDescent="0.35">
      <c r="G733" s="172"/>
      <c r="R733" s="173"/>
      <c r="S733" s="173"/>
    </row>
    <row r="734" spans="7:19" x14ac:dyDescent="0.35">
      <c r="G734" s="172"/>
      <c r="R734" s="173"/>
      <c r="S734" s="173"/>
    </row>
    <row r="735" spans="7:19" x14ac:dyDescent="0.35">
      <c r="G735" s="172"/>
      <c r="R735" s="173"/>
      <c r="S735" s="173"/>
    </row>
    <row r="736" spans="7:19" x14ac:dyDescent="0.35">
      <c r="G736" s="172"/>
      <c r="R736" s="173"/>
      <c r="S736" s="173"/>
    </row>
    <row r="737" spans="7:19" x14ac:dyDescent="0.35">
      <c r="G737" s="172"/>
      <c r="R737" s="173"/>
      <c r="S737" s="173"/>
    </row>
    <row r="738" spans="7:19" x14ac:dyDescent="0.35">
      <c r="G738" s="172"/>
      <c r="R738" s="173"/>
      <c r="S738" s="173"/>
    </row>
    <row r="739" spans="7:19" x14ac:dyDescent="0.35">
      <c r="G739" s="172"/>
      <c r="R739" s="173"/>
      <c r="S739" s="173"/>
    </row>
    <row r="740" spans="7:19" x14ac:dyDescent="0.35">
      <c r="G740" s="172"/>
      <c r="R740" s="173"/>
      <c r="S740" s="173"/>
    </row>
    <row r="741" spans="7:19" x14ac:dyDescent="0.35">
      <c r="G741" s="172"/>
      <c r="R741" s="173"/>
      <c r="S741" s="173"/>
    </row>
    <row r="742" spans="7:19" x14ac:dyDescent="0.35">
      <c r="G742" s="172"/>
      <c r="R742" s="173"/>
      <c r="S742" s="173"/>
    </row>
    <row r="743" spans="7:19" x14ac:dyDescent="0.35">
      <c r="G743" s="172"/>
      <c r="R743" s="173"/>
      <c r="S743" s="173"/>
    </row>
    <row r="744" spans="7:19" x14ac:dyDescent="0.35">
      <c r="G744" s="172"/>
      <c r="R744" s="173"/>
      <c r="S744" s="173"/>
    </row>
    <row r="745" spans="7:19" x14ac:dyDescent="0.35">
      <c r="G745" s="172"/>
      <c r="R745" s="173"/>
      <c r="S745" s="173"/>
    </row>
    <row r="746" spans="7:19" x14ac:dyDescent="0.35">
      <c r="G746" s="172"/>
      <c r="R746" s="173"/>
      <c r="S746" s="173"/>
    </row>
    <row r="747" spans="7:19" x14ac:dyDescent="0.35">
      <c r="G747" s="172"/>
      <c r="R747" s="173"/>
      <c r="S747" s="173"/>
    </row>
    <row r="748" spans="7:19" x14ac:dyDescent="0.35">
      <c r="G748" s="172"/>
      <c r="R748" s="173"/>
      <c r="S748" s="173"/>
    </row>
    <row r="749" spans="7:19" x14ac:dyDescent="0.35">
      <c r="G749" s="172"/>
      <c r="R749" s="173"/>
      <c r="S749" s="173"/>
    </row>
    <row r="750" spans="7:19" x14ac:dyDescent="0.35">
      <c r="G750" s="172"/>
      <c r="R750" s="173"/>
      <c r="S750" s="173"/>
    </row>
    <row r="751" spans="7:19" x14ac:dyDescent="0.35">
      <c r="G751" s="172"/>
      <c r="R751" s="173"/>
      <c r="S751" s="173"/>
    </row>
    <row r="752" spans="7:19" x14ac:dyDescent="0.35">
      <c r="G752" s="172"/>
      <c r="R752" s="173"/>
      <c r="S752" s="173"/>
    </row>
    <row r="753" spans="7:19" x14ac:dyDescent="0.35">
      <c r="G753" s="172"/>
      <c r="R753" s="173"/>
      <c r="S753" s="173"/>
    </row>
    <row r="754" spans="7:19" x14ac:dyDescent="0.35">
      <c r="G754" s="172"/>
      <c r="R754" s="173"/>
      <c r="S754" s="173"/>
    </row>
    <row r="755" spans="7:19" x14ac:dyDescent="0.35">
      <c r="G755" s="172"/>
      <c r="R755" s="173"/>
      <c r="S755" s="173"/>
    </row>
    <row r="756" spans="7:19" x14ac:dyDescent="0.35">
      <c r="G756" s="172"/>
      <c r="R756" s="173"/>
      <c r="S756" s="173"/>
    </row>
    <row r="757" spans="7:19" x14ac:dyDescent="0.35">
      <c r="G757" s="172"/>
      <c r="R757" s="173"/>
      <c r="S757" s="173"/>
    </row>
    <row r="758" spans="7:19" x14ac:dyDescent="0.35">
      <c r="G758" s="172"/>
      <c r="R758" s="173"/>
      <c r="S758" s="173"/>
    </row>
    <row r="759" spans="7:19" x14ac:dyDescent="0.35">
      <c r="G759" s="172"/>
      <c r="R759" s="173"/>
      <c r="S759" s="173"/>
    </row>
    <row r="760" spans="7:19" x14ac:dyDescent="0.35">
      <c r="G760" s="172"/>
      <c r="R760" s="173"/>
      <c r="S760" s="173"/>
    </row>
    <row r="761" spans="7:19" x14ac:dyDescent="0.35">
      <c r="G761" s="172"/>
      <c r="R761" s="173"/>
      <c r="S761" s="173"/>
    </row>
    <row r="762" spans="7:19" x14ac:dyDescent="0.35">
      <c r="G762" s="172"/>
      <c r="R762" s="173"/>
      <c r="S762" s="173"/>
    </row>
    <row r="763" spans="7:19" x14ac:dyDescent="0.35">
      <c r="G763" s="172"/>
      <c r="R763" s="173"/>
      <c r="S763" s="173"/>
    </row>
    <row r="764" spans="7:19" x14ac:dyDescent="0.35">
      <c r="G764" s="172"/>
      <c r="R764" s="173"/>
      <c r="S764" s="173"/>
    </row>
    <row r="765" spans="7:19" x14ac:dyDescent="0.35">
      <c r="G765" s="172"/>
      <c r="R765" s="173"/>
      <c r="S765" s="173"/>
    </row>
    <row r="766" spans="7:19" x14ac:dyDescent="0.35">
      <c r="G766" s="172"/>
      <c r="R766" s="173"/>
      <c r="S766" s="173"/>
    </row>
    <row r="767" spans="7:19" x14ac:dyDescent="0.35">
      <c r="G767" s="172"/>
      <c r="R767" s="173"/>
      <c r="S767" s="173"/>
    </row>
    <row r="768" spans="7:19" x14ac:dyDescent="0.35">
      <c r="G768" s="172"/>
      <c r="R768" s="173"/>
      <c r="S768" s="173"/>
    </row>
    <row r="769" spans="7:19" x14ac:dyDescent="0.35">
      <c r="G769" s="172"/>
      <c r="R769" s="173"/>
      <c r="S769" s="173"/>
    </row>
    <row r="770" spans="7:19" x14ac:dyDescent="0.35">
      <c r="G770" s="172"/>
      <c r="R770" s="173"/>
      <c r="S770" s="173"/>
    </row>
    <row r="771" spans="7:19" x14ac:dyDescent="0.35">
      <c r="G771" s="172"/>
      <c r="R771" s="173"/>
      <c r="S771" s="173"/>
    </row>
    <row r="772" spans="7:19" x14ac:dyDescent="0.35">
      <c r="G772" s="172"/>
      <c r="R772" s="173"/>
      <c r="S772" s="173"/>
    </row>
    <row r="773" spans="7:19" x14ac:dyDescent="0.35">
      <c r="G773" s="172"/>
      <c r="R773" s="173"/>
      <c r="S773" s="173"/>
    </row>
    <row r="774" spans="7:19" x14ac:dyDescent="0.35">
      <c r="G774" s="172"/>
      <c r="R774" s="173"/>
      <c r="S774" s="173"/>
    </row>
    <row r="775" spans="7:19" x14ac:dyDescent="0.35">
      <c r="G775" s="172"/>
      <c r="R775" s="173"/>
      <c r="S775" s="173"/>
    </row>
    <row r="776" spans="7:19" x14ac:dyDescent="0.35">
      <c r="G776" s="172"/>
      <c r="R776" s="173"/>
      <c r="S776" s="173"/>
    </row>
    <row r="777" spans="7:19" x14ac:dyDescent="0.35">
      <c r="G777" s="172"/>
      <c r="R777" s="173"/>
      <c r="S777" s="173"/>
    </row>
    <row r="778" spans="7:19" x14ac:dyDescent="0.35">
      <c r="G778" s="172"/>
      <c r="R778" s="173"/>
      <c r="S778" s="173"/>
    </row>
    <row r="779" spans="7:19" x14ac:dyDescent="0.35">
      <c r="G779" s="172"/>
      <c r="R779" s="173"/>
      <c r="S779" s="173"/>
    </row>
    <row r="780" spans="7:19" x14ac:dyDescent="0.35">
      <c r="G780" s="172"/>
      <c r="R780" s="173"/>
      <c r="S780" s="173"/>
    </row>
    <row r="781" spans="7:19" x14ac:dyDescent="0.35">
      <c r="G781" s="172"/>
      <c r="R781" s="173"/>
      <c r="S781" s="173"/>
    </row>
    <row r="782" spans="7:19" x14ac:dyDescent="0.35">
      <c r="G782" s="172"/>
      <c r="R782" s="173"/>
      <c r="S782" s="173"/>
    </row>
    <row r="783" spans="7:19" x14ac:dyDescent="0.35">
      <c r="G783" s="172"/>
      <c r="R783" s="173"/>
      <c r="S783" s="173"/>
    </row>
    <row r="784" spans="7:19" x14ac:dyDescent="0.35">
      <c r="G784" s="172"/>
      <c r="R784" s="173"/>
      <c r="S784" s="173"/>
    </row>
    <row r="785" spans="7:19" x14ac:dyDescent="0.35">
      <c r="G785" s="172"/>
      <c r="R785" s="173"/>
      <c r="S785" s="173"/>
    </row>
    <row r="786" spans="7:19" x14ac:dyDescent="0.35">
      <c r="G786" s="172"/>
      <c r="R786" s="173"/>
      <c r="S786" s="173"/>
    </row>
    <row r="787" spans="7:19" x14ac:dyDescent="0.35">
      <c r="G787" s="172"/>
      <c r="R787" s="173"/>
      <c r="S787" s="173"/>
    </row>
    <row r="788" spans="7:19" x14ac:dyDescent="0.35">
      <c r="G788" s="172"/>
      <c r="R788" s="173"/>
      <c r="S788" s="173"/>
    </row>
    <row r="789" spans="7:19" x14ac:dyDescent="0.35">
      <c r="G789" s="172"/>
      <c r="R789" s="173"/>
      <c r="S789" s="173"/>
    </row>
    <row r="790" spans="7:19" x14ac:dyDescent="0.35">
      <c r="G790" s="172"/>
      <c r="R790" s="173"/>
      <c r="S790" s="173"/>
    </row>
    <row r="791" spans="7:19" x14ac:dyDescent="0.35">
      <c r="G791" s="172"/>
      <c r="R791" s="173"/>
      <c r="S791" s="173"/>
    </row>
    <row r="792" spans="7:19" x14ac:dyDescent="0.35">
      <c r="G792" s="172"/>
      <c r="R792" s="173"/>
      <c r="S792" s="173"/>
    </row>
    <row r="793" spans="7:19" x14ac:dyDescent="0.35">
      <c r="G793" s="172"/>
      <c r="R793" s="173"/>
      <c r="S793" s="173"/>
    </row>
    <row r="794" spans="7:19" x14ac:dyDescent="0.35">
      <c r="G794" s="172"/>
      <c r="R794" s="173"/>
      <c r="S794" s="173"/>
    </row>
    <row r="795" spans="7:19" x14ac:dyDescent="0.35">
      <c r="G795" s="172"/>
      <c r="R795" s="173"/>
      <c r="S795" s="173"/>
    </row>
    <row r="796" spans="7:19" x14ac:dyDescent="0.35">
      <c r="G796" s="172"/>
      <c r="R796" s="173"/>
      <c r="S796" s="173"/>
    </row>
    <row r="797" spans="7:19" x14ac:dyDescent="0.35">
      <c r="G797" s="172"/>
      <c r="R797" s="173"/>
      <c r="S797" s="173"/>
    </row>
    <row r="798" spans="7:19" x14ac:dyDescent="0.35">
      <c r="G798" s="172"/>
      <c r="R798" s="173"/>
      <c r="S798" s="173"/>
    </row>
    <row r="799" spans="7:19" x14ac:dyDescent="0.35">
      <c r="G799" s="172"/>
      <c r="R799" s="173"/>
      <c r="S799" s="173"/>
    </row>
    <row r="800" spans="7:19" x14ac:dyDescent="0.35">
      <c r="G800" s="172"/>
      <c r="R800" s="173"/>
      <c r="S800" s="173"/>
    </row>
    <row r="801" spans="7:19" x14ac:dyDescent="0.35">
      <c r="G801" s="172"/>
      <c r="R801" s="173"/>
      <c r="S801" s="173"/>
    </row>
    <row r="802" spans="7:19" x14ac:dyDescent="0.35">
      <c r="G802" s="172"/>
      <c r="R802" s="173"/>
      <c r="S802" s="173"/>
    </row>
    <row r="803" spans="7:19" x14ac:dyDescent="0.35">
      <c r="G803" s="172"/>
      <c r="R803" s="173"/>
      <c r="S803" s="173"/>
    </row>
    <row r="804" spans="7:19" x14ac:dyDescent="0.35">
      <c r="G804" s="172"/>
      <c r="R804" s="173"/>
      <c r="S804" s="173"/>
    </row>
    <row r="805" spans="7:19" x14ac:dyDescent="0.35">
      <c r="G805" s="172"/>
      <c r="R805" s="173"/>
      <c r="S805" s="173"/>
    </row>
    <row r="806" spans="7:19" x14ac:dyDescent="0.35">
      <c r="G806" s="172"/>
      <c r="R806" s="173"/>
      <c r="S806" s="173"/>
    </row>
    <row r="807" spans="7:19" x14ac:dyDescent="0.35">
      <c r="G807" s="172"/>
      <c r="R807" s="173"/>
      <c r="S807" s="173"/>
    </row>
    <row r="808" spans="7:19" x14ac:dyDescent="0.35">
      <c r="G808" s="172"/>
      <c r="R808" s="173"/>
      <c r="S808" s="173"/>
    </row>
    <row r="809" spans="7:19" x14ac:dyDescent="0.35">
      <c r="G809" s="172"/>
      <c r="R809" s="173"/>
      <c r="S809" s="173"/>
    </row>
    <row r="810" spans="7:19" x14ac:dyDescent="0.35">
      <c r="G810" s="172"/>
      <c r="R810" s="173"/>
      <c r="S810" s="173"/>
    </row>
    <row r="811" spans="7:19" x14ac:dyDescent="0.35">
      <c r="G811" s="172"/>
      <c r="R811" s="173"/>
      <c r="S811" s="173"/>
    </row>
    <row r="812" spans="7:19" x14ac:dyDescent="0.35">
      <c r="G812" s="172"/>
      <c r="R812" s="173"/>
      <c r="S812" s="173"/>
    </row>
    <row r="813" spans="7:19" x14ac:dyDescent="0.35">
      <c r="G813" s="172"/>
      <c r="R813" s="173"/>
      <c r="S813" s="173"/>
    </row>
    <row r="814" spans="7:19" x14ac:dyDescent="0.35">
      <c r="G814" s="172"/>
      <c r="R814" s="173"/>
      <c r="S814" s="173"/>
    </row>
    <row r="815" spans="7:19" x14ac:dyDescent="0.35">
      <c r="G815" s="172"/>
      <c r="R815" s="173"/>
      <c r="S815" s="173"/>
    </row>
    <row r="816" spans="7:19" x14ac:dyDescent="0.35">
      <c r="G816" s="172"/>
      <c r="R816" s="173"/>
      <c r="S816" s="173"/>
    </row>
    <row r="817" spans="7:19" x14ac:dyDescent="0.35">
      <c r="G817" s="172"/>
      <c r="R817" s="173"/>
      <c r="S817" s="173"/>
    </row>
    <row r="818" spans="7:19" x14ac:dyDescent="0.35">
      <c r="G818" s="172"/>
      <c r="R818" s="173"/>
      <c r="S818" s="173"/>
    </row>
    <row r="819" spans="7:19" x14ac:dyDescent="0.35">
      <c r="G819" s="172"/>
      <c r="R819" s="173"/>
      <c r="S819" s="173"/>
    </row>
    <row r="820" spans="7:19" x14ac:dyDescent="0.35">
      <c r="G820" s="172"/>
      <c r="R820" s="173"/>
      <c r="S820" s="173"/>
    </row>
    <row r="821" spans="7:19" x14ac:dyDescent="0.35">
      <c r="G821" s="172"/>
      <c r="R821" s="173"/>
      <c r="S821" s="173"/>
    </row>
    <row r="822" spans="7:19" x14ac:dyDescent="0.35">
      <c r="G822" s="172"/>
      <c r="R822" s="173"/>
      <c r="S822" s="173"/>
    </row>
    <row r="823" spans="7:19" x14ac:dyDescent="0.35">
      <c r="G823" s="172"/>
      <c r="R823" s="173"/>
      <c r="S823" s="173"/>
    </row>
    <row r="824" spans="7:19" x14ac:dyDescent="0.35">
      <c r="G824" s="172"/>
      <c r="R824" s="173"/>
      <c r="S824" s="173"/>
    </row>
    <row r="825" spans="7:19" x14ac:dyDescent="0.35">
      <c r="G825" s="172"/>
      <c r="R825" s="173"/>
      <c r="S825" s="173"/>
    </row>
    <row r="826" spans="7:19" x14ac:dyDescent="0.35">
      <c r="G826" s="172"/>
      <c r="R826" s="173"/>
      <c r="S826" s="173"/>
    </row>
    <row r="827" spans="7:19" x14ac:dyDescent="0.35">
      <c r="G827" s="172"/>
      <c r="R827" s="173"/>
      <c r="S827" s="173"/>
    </row>
    <row r="828" spans="7:19" x14ac:dyDescent="0.35">
      <c r="G828" s="172"/>
      <c r="R828" s="173"/>
      <c r="S828" s="173"/>
    </row>
    <row r="829" spans="7:19" x14ac:dyDescent="0.35">
      <c r="G829" s="172"/>
      <c r="R829" s="173"/>
      <c r="S829" s="173"/>
    </row>
    <row r="830" spans="7:19" x14ac:dyDescent="0.35">
      <c r="G830" s="172"/>
      <c r="R830" s="173"/>
      <c r="S830" s="173"/>
    </row>
    <row r="831" spans="7:19" x14ac:dyDescent="0.35">
      <c r="G831" s="172"/>
      <c r="R831" s="173"/>
      <c r="S831" s="173"/>
    </row>
    <row r="832" spans="7:19" x14ac:dyDescent="0.35">
      <c r="G832" s="172"/>
      <c r="R832" s="173"/>
      <c r="S832" s="173"/>
    </row>
    <row r="833" spans="7:19" x14ac:dyDescent="0.35">
      <c r="G833" s="172"/>
      <c r="R833" s="173"/>
      <c r="S833" s="173"/>
    </row>
    <row r="834" spans="7:19" x14ac:dyDescent="0.35">
      <c r="G834" s="172"/>
      <c r="R834" s="173"/>
      <c r="S834" s="173"/>
    </row>
    <row r="835" spans="7:19" x14ac:dyDescent="0.35">
      <c r="G835" s="172"/>
      <c r="R835" s="173"/>
      <c r="S835" s="173"/>
    </row>
    <row r="836" spans="7:19" x14ac:dyDescent="0.35">
      <c r="G836" s="172"/>
      <c r="R836" s="173"/>
      <c r="S836" s="173"/>
    </row>
    <row r="837" spans="7:19" x14ac:dyDescent="0.35">
      <c r="G837" s="172"/>
      <c r="R837" s="173"/>
      <c r="S837" s="173"/>
    </row>
    <row r="838" spans="7:19" x14ac:dyDescent="0.35">
      <c r="G838" s="172"/>
      <c r="R838" s="173"/>
      <c r="S838" s="173"/>
    </row>
    <row r="839" spans="7:19" x14ac:dyDescent="0.35">
      <c r="G839" s="172"/>
      <c r="R839" s="173"/>
      <c r="S839" s="173"/>
    </row>
    <row r="840" spans="7:19" x14ac:dyDescent="0.35">
      <c r="G840" s="172"/>
      <c r="R840" s="173"/>
      <c r="S840" s="173"/>
    </row>
    <row r="841" spans="7:19" x14ac:dyDescent="0.35">
      <c r="G841" s="172"/>
      <c r="R841" s="173"/>
      <c r="S841" s="173"/>
    </row>
    <row r="842" spans="7:19" x14ac:dyDescent="0.35">
      <c r="G842" s="172"/>
      <c r="R842" s="173"/>
      <c r="S842" s="173"/>
    </row>
    <row r="843" spans="7:19" x14ac:dyDescent="0.35">
      <c r="G843" s="172"/>
      <c r="R843" s="173"/>
      <c r="S843" s="173"/>
    </row>
    <row r="844" spans="7:19" x14ac:dyDescent="0.35">
      <c r="G844" s="172"/>
      <c r="R844" s="173"/>
      <c r="S844" s="173"/>
    </row>
    <row r="845" spans="7:19" x14ac:dyDescent="0.35">
      <c r="G845" s="172"/>
      <c r="R845" s="173"/>
      <c r="S845" s="173"/>
    </row>
    <row r="846" spans="7:19" x14ac:dyDescent="0.35">
      <c r="G846" s="172"/>
      <c r="R846" s="173"/>
      <c r="S846" s="173"/>
    </row>
    <row r="847" spans="7:19" x14ac:dyDescent="0.35">
      <c r="G847" s="172"/>
      <c r="R847" s="173"/>
      <c r="S847" s="173"/>
    </row>
    <row r="848" spans="7:19" x14ac:dyDescent="0.35">
      <c r="G848" s="172"/>
      <c r="R848" s="173"/>
      <c r="S848" s="173"/>
    </row>
    <row r="849" spans="7:19" x14ac:dyDescent="0.35">
      <c r="G849" s="172"/>
      <c r="R849" s="173"/>
      <c r="S849" s="173"/>
    </row>
    <row r="850" spans="7:19" x14ac:dyDescent="0.35">
      <c r="G850" s="172"/>
      <c r="R850" s="173"/>
      <c r="S850" s="173"/>
    </row>
    <row r="851" spans="7:19" x14ac:dyDescent="0.35">
      <c r="G851" s="172"/>
      <c r="R851" s="173"/>
      <c r="S851" s="173"/>
    </row>
    <row r="852" spans="7:19" x14ac:dyDescent="0.35">
      <c r="G852" s="172"/>
      <c r="R852" s="173"/>
      <c r="S852" s="173"/>
    </row>
    <row r="853" spans="7:19" x14ac:dyDescent="0.35">
      <c r="G853" s="172"/>
      <c r="R853" s="173"/>
      <c r="S853" s="173"/>
    </row>
    <row r="854" spans="7:19" x14ac:dyDescent="0.35">
      <c r="G854" s="172"/>
      <c r="R854" s="173"/>
      <c r="S854" s="173"/>
    </row>
    <row r="855" spans="7:19" x14ac:dyDescent="0.35">
      <c r="G855" s="172"/>
      <c r="R855" s="173"/>
      <c r="S855" s="173"/>
    </row>
    <row r="856" spans="7:19" x14ac:dyDescent="0.35">
      <c r="G856" s="172"/>
      <c r="R856" s="173"/>
      <c r="S856" s="173"/>
    </row>
    <row r="857" spans="7:19" x14ac:dyDescent="0.35">
      <c r="G857" s="172"/>
      <c r="R857" s="173"/>
      <c r="S857" s="173"/>
    </row>
    <row r="858" spans="7:19" x14ac:dyDescent="0.35">
      <c r="G858" s="172"/>
      <c r="R858" s="173"/>
      <c r="S858" s="173"/>
    </row>
    <row r="859" spans="7:19" x14ac:dyDescent="0.35">
      <c r="G859" s="172"/>
    </row>
    <row r="860" spans="7:19" x14ac:dyDescent="0.35">
      <c r="G860" s="172"/>
    </row>
    <row r="861" spans="7:19" x14ac:dyDescent="0.35">
      <c r="G861" s="172"/>
    </row>
    <row r="862" spans="7:19" x14ac:dyDescent="0.35">
      <c r="G862" s="172"/>
    </row>
    <row r="863" spans="7:19" x14ac:dyDescent="0.35">
      <c r="G863" s="172"/>
    </row>
    <row r="864" spans="7:19" x14ac:dyDescent="0.35">
      <c r="G864" s="172"/>
    </row>
    <row r="865" spans="7:7" x14ac:dyDescent="0.35">
      <c r="G865" s="172"/>
    </row>
    <row r="866" spans="7:7" x14ac:dyDescent="0.35">
      <c r="G866" s="172"/>
    </row>
    <row r="867" spans="7:7" x14ac:dyDescent="0.35">
      <c r="G867" s="172"/>
    </row>
    <row r="868" spans="7:7" x14ac:dyDescent="0.35">
      <c r="G868" s="172"/>
    </row>
    <row r="869" spans="7:7" x14ac:dyDescent="0.35">
      <c r="G869" s="172"/>
    </row>
    <row r="870" spans="7:7" x14ac:dyDescent="0.35">
      <c r="G870" s="172"/>
    </row>
  </sheetData>
  <autoFilter ref="C8:AO870" xr:uid="{FF08B313-46A0-4EBF-8F0A-551560811388}"/>
  <mergeCells count="3">
    <mergeCell ref="AF47:AF48"/>
    <mergeCell ref="AJ47:AJ48"/>
    <mergeCell ref="AN47:AN48"/>
  </mergeCells>
  <dataValidations count="1">
    <dataValidation type="list" allowBlank="1" showInputMessage="1" showErrorMessage="1" sqref="E9:E436" xr:uid="{8992339F-1058-449A-BC62-AC4C97C3EBA3}">
      <formula1>"Classic,Partial,Reno"</formula1>
    </dataValidation>
  </dataValidations>
  <pageMargins left="0.7" right="0.7" top="0.7" bottom="0.7" header="0.5" footer="0.5"/>
  <pageSetup scale="20" fitToHeight="990" orientation="landscape" useFirstPageNumber="1" r:id="rId1"/>
  <headerFooter alignWithMargins="0">
    <oddHeader>&amp;R&amp;B&amp;D &amp;T</oddHeader>
    <oddFooter>&amp;C&amp;B 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Rent Roll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Mitali Gupta</dc:creator>
  <cp:lastModifiedBy>Mitali Gupta</cp:lastModifiedBy>
  <dcterms:created xsi:type="dcterms:W3CDTF">2026-04-02T12:30:31Z</dcterms:created>
  <dcterms:modified xsi:type="dcterms:W3CDTF">2026-04-03T11:27:02Z</dcterms:modified>
</cp:coreProperties>
</file>